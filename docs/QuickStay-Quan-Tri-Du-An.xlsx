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  <sheet sheetId="2" name="Nhân sự dự án" state="visible" r:id="rId5"/>
  </sheets>
  <definedNames>
    <definedName name="_xlnm.Print_Titles" localSheetId="0">'Master Plan'!$7:$7</definedName>
  </definedNames>
  <calcPr calcId="171027" fullCalcOnLoad="1"/>
</workbook>
</file>

<file path=xl/sharedStrings.xml><?xml version="1.0" encoding="utf-8"?>
<sst xmlns="http://schemas.openxmlformats.org/spreadsheetml/2006/main" count="1054" uniqueCount="504">
  <si>
    <t>Dự án QuickStay – Hệ thống đặt phòng khách sạn trực tuyến</t>
  </si>
  <si>
    <t>Đơn vị: Nhóm 05 – lớp HN-KS24-CNTT1 · Giảng viên: ThS. Bùi Thanh Hải</t>
  </si>
  <si>
    <t>Người lập: Nguyễn Thạc Hưng (Trưởng nhóm) · Cập nhật: 27/10/2026</t>
  </si>
  <si>
    <t>Project Start:</t>
  </si>
  <si>
    <t>Chú giải màu thanh Gantt:</t>
  </si>
  <si>
    <t>Mỗi công việc làm trong một ngày; mỗi thành viên có công việc mỗi ngày (khoảng 6 giờ/ngày). Mã T001… khớp với thẻ trên bảng công việc.</t>
  </si>
  <si>
    <t>Display:</t>
  </si>
  <si>
    <t>Daily</t>
  </si>
  <si>
    <t>Hưng</t>
  </si>
  <si>
    <t>Vượng</t>
  </si>
  <si>
    <t>Đức</t>
  </si>
  <si>
    <t>Minh</t>
  </si>
  <si>
    <t>Cả nhóm</t>
  </si>
  <si>
    <t>Display Period:</t>
  </si>
  <si>
    <t>Stt</t>
  </si>
  <si>
    <t>Công việc</t>
  </si>
  <si>
    <t>Tóm tắt nội dung</t>
  </si>
  <si>
    <t>Phụ trách</t>
  </si>
  <si>
    <t>Phối hợp</t>
  </si>
  <si>
    <t>Tiến độ</t>
  </si>
  <si>
    <t xml:space="preserve">Kế hoạch
Bắt đầu</t>
  </si>
  <si>
    <t xml:space="preserve">Kế hoạch
Kết thúc</t>
  </si>
  <si>
    <t xml:space="preserve">Kế hoạch
Số ngày</t>
  </si>
  <si>
    <t xml:space="preserve">Thực tế
Bắt đầu</t>
  </si>
  <si>
    <t xml:space="preserve">Thực tế
Kết thúc</t>
  </si>
  <si>
    <t xml:space="preserve">Thực tế
Số ngày</t>
  </si>
  <si>
    <t>I</t>
  </si>
  <si>
    <t>Khởi tạo dự án &amp; Quản trị</t>
  </si>
  <si>
    <t/>
  </si>
  <si>
    <t>T001 · Họp khởi động: chốt phạm vi, API contract, quy ước Git, Definition of Done</t>
  </si>
  <si>
    <t>Biên bản họp</t>
  </si>
  <si>
    <t>T002 · Tạo nhánh main/dev, bật bắt buộc PR + review, mời thành viên và giảng viên</t>
  </si>
  <si>
    <t>Repo có nhánh main, dev</t>
  </si>
  <si>
    <t>T003 · Dựng bảng công việc: cột, nhãn, nhập task, gán người và hạn</t>
  </si>
  <si>
    <t>Bảng công việc lọc được theo người, hạn, trạng thái</t>
  </si>
  <si>
    <t>T004 · Hoàn thiện Proposal (MSV, liên kết) và nộp đề cương</t>
  </si>
  <si>
    <t>Proposal đã nộp</t>
  </si>
  <si>
    <t>T019 · Họp daily, cập nhật bảng công việc</t>
  </si>
  <si>
    <t>Trạng thái cập nhật</t>
  </si>
  <si>
    <t>T029 · Viết README hướng dẫn chạy dự án</t>
  </si>
  <si>
    <t>README</t>
  </si>
  <si>
    <t>T030 · Tạo PR template và quy ước commit</t>
  </si>
  <si>
    <t>PR template</t>
  </si>
  <si>
    <t>T047 · Họp daily, cập nhật bảng công việc</t>
  </si>
  <si>
    <t>T060 · Review PR tuần 1</t>
  </si>
  <si>
    <t>PR đã review</t>
  </si>
  <si>
    <t>T061 · Sprint Review và Retro tuần 1</t>
  </si>
  <si>
    <t>Biên bản review</t>
  </si>
  <si>
    <t>T068 · Sprint Review và Retro tuần 1</t>
  </si>
  <si>
    <t>T072 · Sprint Review và Retro tuần 1</t>
  </si>
  <si>
    <t>T099 · Review PR</t>
  </si>
  <si>
    <t>T111 · Review PR</t>
  </si>
  <si>
    <t>T122 · Review và merge các PR tuần 2</t>
  </si>
  <si>
    <t>PR đã merge</t>
  </si>
  <si>
    <t>T125 · Sprint Review và Retro tuần 2</t>
  </si>
  <si>
    <t>T131 · Sprint Review và Retro tuần 2</t>
  </si>
  <si>
    <t>T135 · Sprint Review và Retro tuần 2</t>
  </si>
  <si>
    <t>T150 · Review PR</t>
  </si>
  <si>
    <t>T162 · Khóa tính năng mới lúc 12h; từ đó chỉ sửa lỗi</t>
  </si>
  <si>
    <t>Không còn PR tính năng mới</t>
  </si>
  <si>
    <t>T163 · Review PR</t>
  </si>
  <si>
    <t>T174 · Rà soát lịch sử commit của 4 thành viên</t>
  </si>
  <si>
    <t>Mỗi người có commit</t>
  </si>
  <si>
    <t>T185 · Sprint Review và Retro tuần 3</t>
  </si>
  <si>
    <t>T187 · Review mã backend của cả nhóm</t>
  </si>
  <si>
    <t>Review xong</t>
  </si>
  <si>
    <t>T188 · Sprint Review và Retro tuần 3</t>
  </si>
  <si>
    <t>T192 · Sprint Review và Retro tuần 3</t>
  </si>
  <si>
    <t>T196 · Sprint Review và Retro tuần 3</t>
  </si>
  <si>
    <t>II</t>
  </si>
  <si>
    <t>Phân tích &amp; Thiết kế</t>
  </si>
  <si>
    <t>T005 · Viết SRS mục 1: mục đích, phạm vi, tổng quan, thuật ngữ</t>
  </si>
  <si>
    <t>SRS phần 1</t>
  </si>
  <si>
    <t>T006 · Phân tích thực thể và quan hệ: users, hotels, rooms, bookings</t>
  </si>
  <si>
    <t>Sơ đồ ERD</t>
  </si>
  <si>
    <t>T007 · Viết từ điển dữ liệu 4 bảng (kiểu, ràng buộc, mô tả)</t>
  </si>
  <si>
    <t>QuickStay-ERD.md</t>
  </si>
  <si>
    <t>T009 · Phác thảo wireframe Trang chủ và Chi tiết khách sạn</t>
  </si>
  <si>
    <t>Ảnh wireframe (UC04, UC05)</t>
  </si>
  <si>
    <t>T010 · Phác thảo wireframe Đăng nhập, Đăng ký, Hồ sơ</t>
  </si>
  <si>
    <t>Ảnh wireframe (UC01, UC02, UC03)</t>
  </si>
  <si>
    <t>T011 · Phác thảo wireframe Đặt phòng và Lịch sử đặt phòng</t>
  </si>
  <si>
    <t>Ảnh wireframe (UC06, UC07, UC08)</t>
  </si>
  <si>
    <t>T012 · Quy ước giao diện: màu sắc, font, component dùng chung</t>
  </si>
  <si>
    <t>Quy ước UI</t>
  </si>
  <si>
    <t>T013 · Thiết kế sơ đồ kiến trúc và sơ đồ triển khai (Nginx, backend, MySQL)</t>
  </si>
  <si>
    <t>Sơ đồ kiến trúc</t>
  </si>
  <si>
    <t>T016 · Viết SRS 2.1–2.2: sơ đồ quan hệ đối tượng và sơ đồ Use Case</t>
  </si>
  <si>
    <t>SRS 2.1, 2.2</t>
  </si>
  <si>
    <t>T017 · Viết SRS 2.3–2.4: sơ đồ luồng và sơ đồ chuyển trạng thái đơn</t>
  </si>
  <si>
    <t>SRS 2.3, 2.4</t>
  </si>
  <si>
    <t>T018 · Viết SRS 2.5–2.6: phân quyền chức năng, dữ liệu và site map</t>
  </si>
  <si>
    <t>SRS 2.5, 2.6</t>
  </si>
  <si>
    <t>T023 · Wireframe dashboard admin: 3 tab Đặt phòng, Khách sạn, Phòng</t>
  </si>
  <si>
    <t>Ảnh wireframe (UC09, UC10, UC11)</t>
  </si>
  <si>
    <t>T024 · Wireframe chatbot và bản mobile</t>
  </si>
  <si>
    <t>Ảnh wireframe (UC13)</t>
  </si>
  <si>
    <t>T031 · Đặc tả use case UC06 (đặt phòng) trong SRS</t>
  </si>
  <si>
    <t>SRS 3.6 (UC06)</t>
  </si>
  <si>
    <t>T032 · Đặc tả use case UC12 (sinh mô tả AI) trong SRS</t>
  </si>
  <si>
    <t>SRS 3.12 (UC12)</t>
  </si>
  <si>
    <t>T033 · Đặc tả use case UC13 (chatbot) trong SRS</t>
  </si>
  <si>
    <t>SRS 3.13 (UC13)</t>
  </si>
  <si>
    <t>T057 · Đặc tả use case UC09–UC11 (quản trị) trong SRS</t>
  </si>
  <si>
    <t>SRS 3.9–3.11 (UC09, UC10, UC11)</t>
  </si>
  <si>
    <t>T058 · Viết SRS phần 4: component, thông báo, cảnh báo</t>
  </si>
  <si>
    <t>SRS phần 4</t>
  </si>
  <si>
    <t>T096 · Review chéo và chốt SRS bản 1.0 cùng cả nhóm</t>
  </si>
  <si>
    <t>SRS bản 1.0</t>
  </si>
  <si>
    <t>T124 · Cập nhật SRS theo thay đổi thực tế</t>
  </si>
  <si>
    <t>SRS cập nhật</t>
  </si>
  <si>
    <t>T177 · Chốt tài liệu API và ERD theo thực tế</t>
  </si>
  <si>
    <t>API.md, ERD.md cập nhật</t>
  </si>
  <si>
    <t>T184 · Cập nhật SRS bản cuối theo hệ thống thực tế</t>
  </si>
  <si>
    <t>SRS bản cuối</t>
  </si>
  <si>
    <t>III</t>
  </si>
  <si>
    <t>Phát triển</t>
  </si>
  <si>
    <t>Nền tảng &amp; DevOps</t>
  </si>
  <si>
    <t>T008 · Khởi tạo Spring Boot, cấu hình MySQL/JWT/CORS qua biến môi trường</t>
  </si>
  <si>
    <t>Backend chạy với MySQL</t>
  </si>
  <si>
    <t>T014 · Viết Dockerfile backend (Gradle + JDK)</t>
  </si>
  <si>
    <t>Image backend build được</t>
  </si>
  <si>
    <t>T015 · Viết Dockerfile frontend (Node build + Nginx) và nginx.conf</t>
  </si>
  <si>
    <t>Image frontend build được</t>
  </si>
  <si>
    <t>T025 · Khởi tạo React + Vite + Tailwind + Zustand + React Router</t>
  </si>
  <si>
    <t>npm run dev chạy được</t>
  </si>
  <si>
    <t>T026 · Dựng layout chung và khung Navbar</t>
  </si>
  <si>
    <t>Layout, Navbar khung</t>
  </si>
  <si>
    <t>T027 · docker-compose: dịch vụ mysql có healthcheck và volume</t>
  </si>
  <si>
    <t>MySQL lên bằng compose</t>
  </si>
  <si>
    <t>T028 · docker-compose: backend, frontend, biến môi trường, .env.example</t>
  </si>
  <si>
    <t>docker compose up chạy cả hệ thống</t>
  </si>
  <si>
    <t>T041 · GitHub Actions: build và test backend khi push/PR</t>
  </si>
  <si>
    <t>Job backend xanh</t>
  </si>
  <si>
    <t>T042 · GitHub Actions: build và test frontend</t>
  </si>
  <si>
    <t>Job frontend xanh</t>
  </si>
  <si>
    <t>T070 · Chạy thử toàn hệ thống bằng docker compose và ghi lỗi</t>
  </si>
  <si>
    <t>Hệ thống chạy từ đầu</t>
  </si>
  <si>
    <t>T071 · Logging SLF4J/Logback cho exception quan trọng</t>
  </si>
  <si>
    <t>Log có ngữ cảnh</t>
  </si>
  <si>
    <t>Tài khoản &amp; Phân quyền (UC01–UC03)</t>
  </si>
  <si>
    <t>T020 · Viết entity User, UserRepository và tài khoản admin mặc định</t>
  </si>
  <si>
    <t>Admin tự tạo khi DB trống (UC01, UC02)</t>
  </si>
  <si>
    <t>T021 · API đăng ký: validate dữ liệu, chuẩn hóa email, mã hóa BCrypt</t>
  </si>
  <si>
    <t>POST /auth/register (UC01)</t>
  </si>
  <si>
    <t>T022 · API đăng nhập và sinh JWT có hạn (JwtService)</t>
  </si>
  <si>
    <t>POST /auth/login (UC02)</t>
  </si>
  <si>
    <t>T035 · Unit test API đăng ký (thành công, trùng email, dữ liệu sai)</t>
  </si>
  <si>
    <t>Test xanh (UC01)</t>
  </si>
  <si>
    <t>T038 · Giao diện trang Đăng nhập</t>
  </si>
  <si>
    <t>Màn hình Đăng nhập (UC02)</t>
  </si>
  <si>
    <t>T039 · Giao diện trang Đăng ký</t>
  </si>
  <si>
    <t>Màn hình Đăng ký (UC01)</t>
  </si>
  <si>
    <t>T040 · Viết authStore (Zustand) và hàm gọi API tự gắn JWT</t>
  </si>
  <si>
    <t>authStore, api client (UC01, UC02)</t>
  </si>
  <si>
    <t>T043 · Spring Security: JwtAuthFilter và cấu hình phân quyền CUSTOMER/ADMIN</t>
  </si>
  <si>
    <t>Phân quyền theo vai trò (UC02)</t>
  </si>
  <si>
    <t>T051 · Nối API đăng nhập, đăng ký và hiển thị lỗi từ backend</t>
  </si>
  <si>
    <t>Đăng nhập thật (UC01, UC02)</t>
  </si>
  <si>
    <t>T052 · Navbar theo vai trò và route guard (CUSTOMER/ADMIN)</t>
  </si>
  <si>
    <t>Vào sai quyền bị chuyển hướng (UC02)</t>
  </si>
  <si>
    <t>T054 · Cấu hình CORS chỉ cho nguồn Frontend</t>
  </si>
  <si>
    <t>CORS đúng</t>
  </si>
  <si>
    <t>T055 · Xử lý 401 và 403 trả JSON (accessDeniedHandler)</t>
  </si>
  <si>
    <t>Khách gọi API admin nhận 403</t>
  </si>
  <si>
    <t>T064 · API xem và cập nhật hồ sơ (GET/PUT /users/me)</t>
  </si>
  <si>
    <t>Hồ sơ, đổi mật khẩu (UC03)</t>
  </si>
  <si>
    <t>T116 · Trang hồ sơ: hiển thị và sửa họ tên, email, SĐT</t>
  </si>
  <si>
    <t>Sửa hồ sơ (UC03)</t>
  </si>
  <si>
    <t>T117 · Trang hồ sơ: đổi mật khẩu và thông báo kết quả</t>
  </si>
  <si>
    <t>Đổi mật khẩu (UC03)</t>
  </si>
  <si>
    <t>T126 · Test hồ sơ và lịch sử đặt phòng</t>
  </si>
  <si>
    <t>Test xanh (UC03, UC07)</t>
  </si>
  <si>
    <t>Khách sạn &amp; Tìm kiếm (UC04–UC05)</t>
  </si>
  <si>
    <t>T036 · Viết entity Hotel, Room và repository</t>
  </si>
  <si>
    <t>Entity, repository (UC04, UC05)</t>
  </si>
  <si>
    <t>T037 · Viết seed dữ liệu mẫu 4 khách sạn và các loại phòng</t>
  </si>
  <si>
    <t>Dữ liệu mẫu tự tạo (UC04)</t>
  </si>
  <si>
    <t>T048 · API danh sách khách sạn kèm giá thấp nhất mỗi đêm</t>
  </si>
  <si>
    <t>GET /hotels (UC04)</t>
  </si>
  <si>
    <t>T049 · Tìm kiếm theo tên hoặc thành phố (khớp một phần)</t>
  </si>
  <si>
    <t>Tham số q, city (UC04)</t>
  </si>
  <si>
    <t>T050 · Lọc theo loại phòng và khoảng giá</t>
  </si>
  <si>
    <t>Tham số roomType, minPrice, maxPrice (UC04)</t>
  </si>
  <si>
    <t>T053 · Trang chủ: lưới thẻ khách sạn (ảnh, tên, thành phố, giá từ)</t>
  </si>
  <si>
    <t>Lưới khách sạn (UC04)</t>
  </si>
  <si>
    <t>T062 · API chi tiết một khách sạn (GET /hotels/{id})</t>
  </si>
  <si>
    <t>Trả 404 khi không có (UC05)</t>
  </si>
  <si>
    <t>T063 · Unit test tìm kiếm và lọc khách sạn</t>
  </si>
  <si>
    <t>Test xanh (UC04)</t>
  </si>
  <si>
    <t>T065 · Trang chủ: ô tìm kiếm theo tên/thành phố và nối API</t>
  </si>
  <si>
    <t>Tìm kiếm chạy được (UC04)</t>
  </si>
  <si>
    <t>T066 · Trang chủ: bộ lọc loại phòng và khoảng giá</t>
  </si>
  <si>
    <t>Bộ lọc chạy được (UC04)</t>
  </si>
  <si>
    <t>T067 · Trang chủ: trạng thái đang tải, rỗng, lỗi</t>
  </si>
  <si>
    <t>Hiển thị đúng 3 trạng thái (UC04)</t>
  </si>
  <si>
    <t>T076 · API danh sách loại phòng của khách sạn (GET /hotels/{id}/rooms)</t>
  </si>
  <si>
    <t>Sắp theo giá tăng dần (UC05)</t>
  </si>
  <si>
    <t>T077 · Tính phòng trống: truy vấn đếm đơn chồng lấn khoảng ngày</t>
  </si>
  <si>
    <t>Trường available đúng (UC05)</t>
  </si>
  <si>
    <t>T078 · Test phòng trống: liền kề, chồng lấn, nhiều phòng cùng loại</t>
  </si>
  <si>
    <t>Test xanh (UC05)</t>
  </si>
  <si>
    <t>T079 · Trang chi tiết: hiển thị thông tin khách sạn, tiện nghi, ảnh</t>
  </si>
  <si>
    <t>Khối thông tin (UC05)</t>
  </si>
  <si>
    <t>T080 · Trang chi tiết: chọn ngày nhận/trả và kiểm tra hợp lệ</t>
  </si>
  <si>
    <t>Báo lỗi ngày sai (UC05)</t>
  </si>
  <si>
    <t>T081 · Trang chi tiết: danh sách phòng, giá một đêm, sức chứa</t>
  </si>
  <si>
    <t>Danh sách phòng (UC05)</t>
  </si>
  <si>
    <t>T091 · Trang chi tiết: hiển thị số phòng trống, khóa nút khi hết</t>
  </si>
  <si>
    <t>Hết phòng khóa nút (UC05)</t>
  </si>
  <si>
    <t>T153 · Tối ưu truy vấn phòng trống và thêm chỉ mục CSDL</t>
  </si>
  <si>
    <t>Truy vấn dưới 500 ms (UC05)</t>
  </si>
  <si>
    <t>T165 · API phân trang danh sách khách sạn và đơn đặt phòng</t>
  </si>
  <si>
    <t>Trang, kích thước trang (UC04, UC11)</t>
  </si>
  <si>
    <t>T175 · Hỗ trợ Đức nối API phân trang ở giao diện</t>
  </si>
  <si>
    <t>Phân trang chạy đầu cuối (UC04, UC11)</t>
  </si>
  <si>
    <t>AI: mô tả &amp; chatbot (UC12–UC13)</t>
  </si>
  <si>
    <t>T073 · API sinh mô tả AI: dựng prompt và gọi Messages API</t>
  </si>
  <si>
    <t>POST /ai/describe (UC12)</t>
  </si>
  <si>
    <t>T074 · Mô tả dự phòng khi chưa có khóa API hoặc AI lỗi</t>
  </si>
  <si>
    <t>Luôn trả kết quả (UC12)</t>
  </si>
  <si>
    <t>T075 · Test API sinh mô tả (quyền ADMIN, dữ liệu sai)</t>
  </si>
  <si>
    <t>Test xanh (UC12)</t>
  </si>
  <si>
    <t>T084 · Chatbot: dựng ngữ cảnh từ DB (khách sạn, tiện nghi, phòng, giá)</t>
  </si>
  <si>
    <t>Ngữ cảnh gửi cho AI (UC13)</t>
  </si>
  <si>
    <t>T085 · Chatbot: trả lời dự phòng theo từ khóa khi AI không dùng được</t>
  </si>
  <si>
    <t>POST /ai/chat luôn có kết quả (UC13)</t>
  </si>
  <si>
    <t>T086 · Test API chatbot (tin nhắn rỗng, quá dài, có/không khóa)</t>
  </si>
  <si>
    <t>Test xanh (UC13)</t>
  </si>
  <si>
    <t>T136 · Nút "Tạo mô tả bằng AI" ở form khách sạn</t>
  </si>
  <si>
    <t>Bấm nút điền mô tả (UC12)</t>
  </si>
  <si>
    <t>T137 · Nút "Tạo mô tả bằng AI" ở form phòng</t>
  </si>
  <si>
    <t>T138 · Kiểm thử thủ công sinh mô tả AI</t>
  </si>
  <si>
    <t>Danh sách lỗi (UC12)</t>
  </si>
  <si>
    <t>T139 · Thử AI thật với khóa API (nếu có) và ghi kết quả</t>
  </si>
  <si>
    <t>Kết quả thử (UC12, UC13)</t>
  </si>
  <si>
    <t>T148 · Widget chatbot: nút tròn và khung chat</t>
  </si>
  <si>
    <t>Khung chat (UC13)</t>
  </si>
  <si>
    <t>T149 · Widget chatbot: nối API, hiển thị tin nhắn, xử lý lỗi</t>
  </si>
  <si>
    <t>Chat được trên mọi trang (UC13)</t>
  </si>
  <si>
    <t>Quản trị khách sạn/phòng/đơn (UC09–UC11)</t>
  </si>
  <si>
    <t>T082 · API admin khách sạn: thêm (POST) và sửa (PUT) kèm validate</t>
  </si>
  <si>
    <t>POST/PUT /admin/hotels (UC09)</t>
  </si>
  <si>
    <t>T083 · API admin khách sạn: danh sách (GET) và xóa (DELETE), chặn khi có đơn</t>
  </si>
  <si>
    <t>Xóa có đơn trả 409 (UC09)</t>
  </si>
  <si>
    <t>T094 · API admin loại phòng: thêm (POST) và sửa (PUT) kèm validate</t>
  </si>
  <si>
    <t>POST/PUT /admin/rooms (UC10)</t>
  </si>
  <si>
    <t>T095 · API admin loại phòng: danh sách, xóa, chặn khi có đơn</t>
  </si>
  <si>
    <t>Xóa có đơn trả 409 (UC10)</t>
  </si>
  <si>
    <t>T106 · API admin: danh sách toàn bộ đơn đặt phòng</t>
  </si>
  <si>
    <t>GET /admin/bookings (UC11)</t>
  </si>
  <si>
    <t>T107 · API admin: đổi trạng thái đơn theo luồng hợp lệ</t>
  </si>
  <si>
    <t>Bước sai trả 409 (UC11)</t>
  </si>
  <si>
    <t>T108 · Test API admin: CRUD, luồng trạng thái, phân quyền</t>
  </si>
  <si>
    <t>Test xanh (UC09, UC10, UC11)</t>
  </si>
  <si>
    <t>T118 · Dashboard admin: khung 3 tab và điều hướng</t>
  </si>
  <si>
    <t>Khung admin (UC09, UC10, UC11)</t>
  </si>
  <si>
    <t>T119 · Bộ xử lý lỗi chung: trả {"message"} thống nhất cho mọi lỗi</t>
  </si>
  <si>
    <t>ApiExceptionHandler</t>
  </si>
  <si>
    <t>T120 · Test các mã lỗi 400, 404, 409</t>
  </si>
  <si>
    <t>Test xanh</t>
  </si>
  <si>
    <t>T129 · Admin tab Đặt phòng: bảng đơn và bộ lọc trạng thái</t>
  </si>
  <si>
    <t>Bảng đơn (UC11)</t>
  </si>
  <si>
    <t>T130 · Admin tab Đặt phòng: nút chuyển trạng thái kế tiếp và hủy</t>
  </si>
  <si>
    <t>Đổi trạng thái chạy được (UC11)</t>
  </si>
  <si>
    <t>T133 · Sửa lỗi backend admin theo cột Bug</t>
  </si>
  <si>
    <t>Bug admin đã đóng</t>
  </si>
  <si>
    <t>T143 · Admin tab Khách sạn: bảng danh sách và form thêm/sửa</t>
  </si>
  <si>
    <t>CRUD khách sạn (UC09)</t>
  </si>
  <si>
    <t>T144 · Admin tab Khách sạn: xóa, hộp thoại xác nhận, lỗi 409</t>
  </si>
  <si>
    <t>Xóa an toàn (UC09)</t>
  </si>
  <si>
    <t>T154 · Admin tab Phòng: bảng danh sách và form thêm/sửa</t>
  </si>
  <si>
    <t>CRUD loại phòng (UC10)</t>
  </si>
  <si>
    <t>T155 · Admin tab Phòng: kiểm tra giá, sức chứa, số lượng và xóa</t>
  </si>
  <si>
    <t>Validate đúng (UC10)</t>
  </si>
  <si>
    <t>Đặt phòng (UC06–UC08)</t>
  </si>
  <si>
    <t>T087 · API đặt phòng: validate ngày (trả &gt; nhận, nhận ≥ hôm nay)</t>
  </si>
  <si>
    <t>Trả 400 khi sai (UC06)</t>
  </si>
  <si>
    <t>T088 · API đặt phòng: tính tổng tiền theo số đêm, tạo đơn PENDING</t>
  </si>
  <si>
    <t>POST /bookings trả 201 (UC06)</t>
  </si>
  <si>
    <t>T089 · API đặt phòng: kiểm tra sức chứa và thông báo lỗi</t>
  </si>
  <si>
    <t>Trả 400 khi vượt (UC06)</t>
  </si>
  <si>
    <t>T090 · Test validate đặt phòng</t>
  </si>
  <si>
    <t>Test xanh (UC06)</t>
  </si>
  <si>
    <t>T092 · Trang đặt phòng: form họ tên, SĐT, số khách, ghi chú</t>
  </si>
  <si>
    <t>Form đặt phòng (UC06)</t>
  </si>
  <si>
    <t>T093 · Trang đặt phòng: tóm tắt phòng và tổng tiền theo số đêm</t>
  </si>
  <si>
    <t>Tổng tiền đúng (UC06)</t>
  </si>
  <si>
    <t>T100 · Chống đặt trùng: transaction và khóa bản ghi phòng (PESSIMISTIC_WRITE)</t>
  </si>
  <si>
    <t>Hết phòng trả 409 (UC06)</t>
  </si>
  <si>
    <t>T101 · API lịch sử đặt phòng của người dùng (GET /bookings/me)</t>
  </si>
  <si>
    <t>Mới nhất trước (UC07)</t>
  </si>
  <si>
    <t>T102 · Test đặt phòng trùng ngày và kỳ nghỉ liền nhau</t>
  </si>
  <si>
    <t>T103 · Trang đặt phòng: gọi API và xử lý lỗi 400/409</t>
  </si>
  <si>
    <t>Đặt phòng thật (UC06)</t>
  </si>
  <si>
    <t>T104 · Trang đặt phòng thành công: mã đơn, tổng tiền, nhắc thanh toán</t>
  </si>
  <si>
    <t>Màn hình thành công (UC06)</t>
  </si>
  <si>
    <t>T105 · Trang lịch sử: danh sách đơn và nhãn trạng thái</t>
  </si>
  <si>
    <t>Danh sách đơn (UC07)</t>
  </si>
  <si>
    <t>T112 · API hủy đơn PENDING: kiểm tra chủ đơn (403) và trạng thái (409)</t>
  </si>
  <si>
    <t>PATCH /bookings/{id}/cancel (UC08)</t>
  </si>
  <si>
    <t>T113 · Test hủy đơn: của mình, của người khác, đã xác nhận</t>
  </si>
  <si>
    <t>Test xanh (UC08)</t>
  </si>
  <si>
    <t>T114 · Test nhiều phòng cùng loại đặt song song</t>
  </si>
  <si>
    <t>T115 · Trang lịch sử: nút Hủy đặt phòng, hộp thoại xác nhận, tải lại</t>
  </si>
  <si>
    <t>Hủy đơn cập nhật ngay (UC08)</t>
  </si>
  <si>
    <t>T127 · Test đồng thời cơ bản (2 yêu cầu cùng lúc cho phòng cuối)</t>
  </si>
  <si>
    <t>T128 · Sửa lỗi theo review và theo cột Bug</t>
  </si>
  <si>
    <t>Bug backend đã đóng</t>
  </si>
  <si>
    <t>IV</t>
  </si>
  <si>
    <t>Kiểm thử</t>
  </si>
  <si>
    <t>T034 · Viết test case UC01–UC03 (mã, bước, kết quả mong đợi)</t>
  </si>
  <si>
    <t>Test case UC01–03 (UC01, UC02, UC03)</t>
  </si>
  <si>
    <t>T044 · Viết test case UC04–UC05 (tìm kiếm, phòng trống)</t>
  </si>
  <si>
    <t>Test case UC04–05 (UC04, UC05)</t>
  </si>
  <si>
    <t>T045 · Viết test case UC06–UC08 (đặt phòng, lịch sử, hủy)</t>
  </si>
  <si>
    <t>Test case UC06–08 (UC06, UC07, UC08)</t>
  </si>
  <si>
    <t>T046 · Viết test case UC09–UC13 (admin, AI)</t>
  </si>
  <si>
    <t>Test case UC09–13 (UC09, UC10, UC11, UC12, UC13)</t>
  </si>
  <si>
    <t>T056 · Viết test phân quyền qua HTTP thật (TestRestTemplate)</t>
  </si>
  <si>
    <t>RealHttpSecurityTest</t>
  </si>
  <si>
    <t>T059 · Kiểm thử thủ công đăng ký, đăng nhập; ghi lỗi vào cột Bug</t>
  </si>
  <si>
    <t>Danh sách lỗi (UC01, UC02)</t>
  </si>
  <si>
    <t>T097 · Kiểm thử thủ công khách sạn, chi tiết, phòng trống</t>
  </si>
  <si>
    <t>Danh sách lỗi (UC04, UC05)</t>
  </si>
  <si>
    <t>T098 · Ghi và phân công lỗi trong cột Bug</t>
  </si>
  <si>
    <t>Bug có người nhận</t>
  </si>
  <si>
    <t>T109 · Kiểm thử thủ công đặt phòng, lịch sử; ghi lỗi</t>
  </si>
  <si>
    <t>Danh sách lỗi (UC06, UC07)</t>
  </si>
  <si>
    <t>T110 · Viết kịch bản E2E: đăng ký → tìm → đặt phòng → admin xác nhận</t>
  </si>
  <si>
    <t>qa/e2e.mjs</t>
  </si>
  <si>
    <t>T123 · Kiểm thử thủ công màn hình admin</t>
  </si>
  <si>
    <t>Danh sách lỗi (UC09, UC10, UC11)</t>
  </si>
  <si>
    <t>T132 · Viết test CORS và xác nhận chỉ nguồn Frontend gọi được</t>
  </si>
  <si>
    <t>Test CORS</t>
  </si>
  <si>
    <t>T140 · Bổ sung test: đăng ký, đăng nhập, hồ sơ (nhánh lỗi)</t>
  </si>
  <si>
    <t>Test xanh (UC01, UC02, UC03)</t>
  </si>
  <si>
    <t>T141 · Bổ sung test: khách sạn, tìm kiếm, phòng trống (nhánh lỗi)</t>
  </si>
  <si>
    <t>Test xanh (UC04, UC05)</t>
  </si>
  <si>
    <t>T142 · Đo độ phủ test và liệt kê phần chưa phủ</t>
  </si>
  <si>
    <t>Báo cáo độ phủ</t>
  </si>
  <si>
    <t>T151 · Bổ sung test: đặt phòng, lịch sử, hủy (nhánh lỗi)</t>
  </si>
  <si>
    <t>Test xanh (UC06, UC07, UC08)</t>
  </si>
  <si>
    <t>T152 · Bổ sung test: API admin và phân quyền</t>
  </si>
  <si>
    <t>T159 · Chạy E2E toàn luồng trên bản docker compose</t>
  </si>
  <si>
    <t>E2E đạt 100%</t>
  </si>
  <si>
    <t>T160 · Kiểm thử tải 50 request đồng thời</t>
  </si>
  <si>
    <t>Số liệu NFR-01, NFR-03</t>
  </si>
  <si>
    <t>T161 · Đo Lighthouse (First Contentful Paint)</t>
  </si>
  <si>
    <t>Số liệu NFR-02</t>
  </si>
  <si>
    <t>T164 · Test đồng thời chống đặt trùng: nhiều yêu cầu cho phòng cuối</t>
  </si>
  <si>
    <t>Chỉ 1 yêu cầu thành công (UC06)</t>
  </si>
  <si>
    <t>T166 · Sửa lỗi QA phía backend</t>
  </si>
  <si>
    <t>T167 · Responsive Trang chủ và Chi tiết khách sạn (mobile/tablet/desktop)</t>
  </si>
  <si>
    <t>Không tràn ngang ở 375 px (UC04, UC05)</t>
  </si>
  <si>
    <t>T168 · Responsive Đặt phòng, Lịch sử, Hồ sơ, Đăng nhập, Đăng ký</t>
  </si>
  <si>
    <t>Không tràn ngang ở 375 px (UC01, UC03, UC06, UC07)</t>
  </si>
  <si>
    <t>T172 · Báo cáo kiểm thử: tổng hợp số liệu test và E2E</t>
  </si>
  <si>
    <t>Báo cáo phần số liệu</t>
  </si>
  <si>
    <t>T173 · Đóng các lỗi còn lại trong cột Bug cùng người phụ trách</t>
  </si>
  <si>
    <t>Bug đã đóng</t>
  </si>
  <si>
    <t>T176 · Sửa lỗi backend theo kết quả tải và Lighthouse</t>
  </si>
  <si>
    <t>NFR-01 đạt</t>
  </si>
  <si>
    <t>T178 · Responsive dashboard admin (3 tab)</t>
  </si>
  <si>
    <t>Bảng cuộn ngang được (UC09, UC10, UC11)</t>
  </si>
  <si>
    <t>T179 · Kiểm tra Chrome, Edge, Safari, Firefox và ghi bảng kết quả</t>
  </si>
  <si>
    <t>Bảng trình duyệt</t>
  </si>
  <si>
    <t>T180 · Hỗ trợ sửa lỗi backend và triển khai theo cột Bug</t>
  </si>
  <si>
    <t>T183 · Hoàn thiện báo cáo kiểm thử (tỉ lệ test đạt từ 80%)</t>
  </si>
  <si>
    <t>QuickStay-Test-Report.md</t>
  </si>
  <si>
    <t>T186 · Sửa lỗi cuối phía backend và đóng cột Bug</t>
  </si>
  <si>
    <t>T189 · Viết test frontend (Vitest) cho Trang chủ và Đăng nhập</t>
  </si>
  <si>
    <t>npm test xanh (UC01, UC02, UC04)</t>
  </si>
  <si>
    <t>T190 · Viết test frontend cho Đặt phòng, Lịch sử và phân quyền route</t>
  </si>
  <si>
    <t>npm test xanh (UC06, UC07)</t>
  </si>
  <si>
    <t>T191 · Sửa lỗi giao diện còn lại</t>
  </si>
  <si>
    <t>Bug giao diện đã đóng</t>
  </si>
  <si>
    <t>V</t>
  </si>
  <si>
    <t>Triển khai &amp; Bàn giao</t>
  </si>
  <si>
    <t>T069 · Rà soát bảo mật cấu hình: secret, biến môi trường, .gitignore</t>
  </si>
  <si>
    <t>Không có bí mật trong Git</t>
  </si>
  <si>
    <t>T121 · Workflow đẩy Docker image lên GHCR khi push main</t>
  </si>
  <si>
    <t>Workflow GHCR</t>
  </si>
  <si>
    <t>T134 · Chuẩn bị môi trường triển khai (VPS hoặc máy demo)</t>
  </si>
  <si>
    <t>Môi trường sẵn sàng</t>
  </si>
  <si>
    <t>T145 · Triển khai: cài Docker và docker compose trên máy chủ</t>
  </si>
  <si>
    <t>Máy chủ có Docker</t>
  </si>
  <si>
    <t>T146 · Triển khai: Nginx reverse proxy và biến môi trường thật</t>
  </si>
  <si>
    <t>Hệ thống chạy trên máy chủ</t>
  </si>
  <si>
    <t>T147 · Kiểm tra backup và khôi phục volume MySQL</t>
  </si>
  <si>
    <t>Quy trình backup</t>
  </si>
  <si>
    <t>T156 · Smoke test toàn bộ luồng trên môi trường triển khai</t>
  </si>
  <si>
    <t>Danh sách kiểm tra</t>
  </si>
  <si>
    <t>T157 · Rà soát bảo mật: CORS, secret, log không lộ dữ liệu</t>
  </si>
  <si>
    <t>T158 · Chuẩn bị merge dev vào main, giải quyết xung đột</t>
  </si>
  <si>
    <t>dev sẵn sàng merge</t>
  </si>
  <si>
    <t>T169 · Pipeline CI xanh trên nhánh dev</t>
  </si>
  <si>
    <t>Actions xanh trên dev</t>
  </si>
  <si>
    <t>T170 · Merge dev vào main sau khi review</t>
  </si>
  <si>
    <t>main cập nhật</t>
  </si>
  <si>
    <t>T171 · Đẩy Docker image lên GHCR từ main</t>
  </si>
  <si>
    <t>Image trên GHCR</t>
  </si>
  <si>
    <t>T181 · Chụp ảnh minh chứng: Actions xanh, docker compose ps, website chạy</t>
  </si>
  <si>
    <t>Ảnh minh chứng trong docs/</t>
  </si>
  <si>
    <t>T182 · Viết hướng dẫn vận hành và xử lý sự cố thường gặp</t>
  </si>
  <si>
    <t>Hướng dẫn vận hành</t>
  </si>
  <si>
    <t>T193 · Kiểm tra pipeline trên main và cảnh báo bảo mật</t>
  </si>
  <si>
    <t>Actions xanh trên main</t>
  </si>
  <si>
    <t>T194 · Gắn tag phiên bản v1.0-rc trên main</t>
  </si>
  <si>
    <t>Tag trên GitHub</t>
  </si>
  <si>
    <t>T195 · Sửa lỗi triển khai còn lại</t>
  </si>
  <si>
    <t>Hệ thống ổn định</t>
  </si>
  <si>
    <t>VI</t>
  </si>
  <si>
    <t>Tuần dự phòng (Backup)</t>
  </si>
  <si>
    <t>T197 · Xử lý việc tồn và lỗi trong cột Bug của cả nhóm</t>
  </si>
  <si>
    <t>Cột Bug trống</t>
  </si>
  <si>
    <t>T198 · Chạy lại toàn bộ test case thủ công trên bản mới nhất</t>
  </si>
  <si>
    <t>Bảng kết quả</t>
  </si>
  <si>
    <t>T199 · Sửa lỗi backend còn tồn</t>
  </si>
  <si>
    <t>T200 · Thông báo lỗi tiếng Việt có dấu cho backend</t>
  </si>
  <si>
    <t>Thông báo chuẩn hóa</t>
  </si>
  <si>
    <t>T201 · Sửa lỗi giao diện còn tồn</t>
  </si>
  <si>
    <t>T202 · Trạng thái rỗng, thông báo lỗi thống nhất</t>
  </si>
  <si>
    <t>UI thống nhất</t>
  </si>
  <si>
    <t>T203 · Chạy thử docker compose up từ đầu trên máy sạch</t>
  </si>
  <si>
    <t>Hệ thống lên chỉ bằng README</t>
  </si>
  <si>
    <t>T204 · Sửa lỗi triển khai phát sinh</t>
  </si>
  <si>
    <t>T205 · Chạy lại E2E, tải 50 request và Lighthouse trên bản cuối</t>
  </si>
  <si>
    <t>Số liệu cập nhật</t>
  </si>
  <si>
    <t>T206 · Cập nhật báo cáo kiểm thử</t>
  </si>
  <si>
    <t>Báo cáo cập nhật</t>
  </si>
  <si>
    <t>T207 · Đơn PENDING tự hết hạn hoặc cảnh báo khi giảm số phòng (tùy chọn)</t>
  </si>
  <si>
    <t>Bỏ nếu không kịp</t>
  </si>
  <si>
    <t>T208 · Kiểm tra lại responsive và trình duyệt sau khi sửa</t>
  </si>
  <si>
    <t>Bảng trình duyệt đạt</t>
  </si>
  <si>
    <t>T209 · README frontend: cách chạy, cấu trúc thư mục</t>
  </si>
  <si>
    <t>README frontend</t>
  </si>
  <si>
    <t>T210 · Hướng dẫn chạy dự án và README tổng</t>
  </si>
  <si>
    <t>README cập nhật</t>
  </si>
  <si>
    <t>T211 · Rà soát lại bảo mật và secret lần cuối</t>
  </si>
  <si>
    <t>Không có bí mật</t>
  </si>
  <si>
    <t>T212 · Hoàn thiện SRS và tài liệu quản trị dự án theo bản cuối</t>
  </si>
  <si>
    <t>Tài liệu bản cuối</t>
  </si>
  <si>
    <t>T213 · Cập nhật trạng thái thật trên bảng công việc</t>
  </si>
  <si>
    <t>Trạng thái đúng thực tế</t>
  </si>
  <si>
    <t>T214 · Rà soát và bổ sung test thiếu</t>
  </si>
  <si>
    <t>T215 · Tối ưu truy vấn nếu chưa đạt hiệu năng</t>
  </si>
  <si>
    <t>T216 · Sửa lỗi giao diện phát sinh khi kiểm tra cuối</t>
  </si>
  <si>
    <t>T217 · Chụp ảnh giao diện cuối cho báo cáo</t>
  </si>
  <si>
    <t>Ảnh giao diện</t>
  </si>
  <si>
    <t>T218 · Pipeline xanh trên main và kiểm tra image GHCR</t>
  </si>
  <si>
    <t>Actions xanh</t>
  </si>
  <si>
    <t>T219 · Chụp ảnh minh chứng cuối</t>
  </si>
  <si>
    <t>Ảnh minh chứng</t>
  </si>
  <si>
    <t>T220 · Rà soát lịch sử commit và đóng góp của 4 thành viên</t>
  </si>
  <si>
    <t>Báo cáo đóng góp</t>
  </si>
  <si>
    <t>T221 · Chuẩn bị nội dung demo và bài nộp</t>
  </si>
  <si>
    <t>Kịch bản demo</t>
  </si>
  <si>
    <t>T222 · Chuẩn bị phần trình bày backend, ERD, API</t>
  </si>
  <si>
    <t>Nội dung trình bày</t>
  </si>
  <si>
    <t>T223 · Sửa lỗi phút chót phía backend</t>
  </si>
  <si>
    <t>Không còn lỗi mở</t>
  </si>
  <si>
    <t>T224 · Chuẩn bị phần trình bày giao diện và luồng người dùng</t>
  </si>
  <si>
    <t>T225 · Sửa lỗi phút chót giao diện</t>
  </si>
  <si>
    <t>T226 · Chuẩn bị phần trình bày DevOps, CI/CD, triển khai</t>
  </si>
  <si>
    <t>T227 · Gắn tag v1.0 và kiểm tra bản phát hành</t>
  </si>
  <si>
    <t>Tag v1.0</t>
  </si>
  <si>
    <t>T228 · Họp nộp bài, kiểm tra checklist tiêu chí hoàn thành</t>
  </si>
  <si>
    <t>Checklist đủ</t>
  </si>
  <si>
    <t>T229 · Nộp Proposal, SRS, liên kết GitHub và bảng công việc</t>
  </si>
  <si>
    <t>Đã nộp bài</t>
  </si>
  <si>
    <t>T230 · Demo phần backend cho giảng viên</t>
  </si>
  <si>
    <t>Demo xong</t>
  </si>
  <si>
    <t>T231 · Demo phần giao diện cho giảng viên</t>
  </si>
  <si>
    <t>T232 · Demo triển khai và CI/CD cho giảng viên</t>
  </si>
  <si>
    <t>DANH SÁCH NHÂN SỰ THAM GIA DỰ ÁN</t>
  </si>
  <si>
    <t>STT</t>
  </si>
  <si>
    <t>Họ Tên</t>
  </si>
  <si>
    <t>Đơn vị/Ban</t>
  </si>
  <si>
    <t>Chức Vụ</t>
  </si>
  <si>
    <t>Vai trò trong dự án</t>
  </si>
  <si>
    <t>Điện thoại</t>
  </si>
  <si>
    <t>Email</t>
  </si>
  <si>
    <t>Ghi chú (MSV)</t>
  </si>
  <si>
    <t>Nhóm 05 – Phát triển Dự án Phần mềm (lớp HN-KS24-CNTT1)</t>
  </si>
  <si>
    <t>Nguyễn Thạc Hưng</t>
  </si>
  <si>
    <t>Nhóm 05</t>
  </si>
  <si>
    <t>Trưởng nhóm (Team Lead)</t>
  </si>
  <si>
    <t>Quản trị dự án, trưởng nhóm; AI (sinh mô tả, chatbot); QA: test case, kiểm thử E2E, tải, Lighthouse; review PR; viết SRS</t>
  </si>
  <si>
    <t>B24DTCN120</t>
  </si>
  <si>
    <t>Phùng Văn Vượng</t>
  </si>
  <si>
    <t>Thành viên</t>
  </si>
  <si>
    <t>Backend và Database: ERD, API tài khoản, khách sạn, phòng trống, đặt phòng, lịch sử, hủy; chống đặt trùng; unit/integration test</t>
  </si>
  <si>
    <t>(bổ sung)</t>
  </si>
  <si>
    <t>Lê Tiến Đức</t>
  </si>
  <si>
    <t>Frontend (React): wireframe, các trang người dùng, dashboard admin, responsive, kiểm tra trình duyệt, test frontend</t>
  </si>
  <si>
    <t>Lê Duy Minh</t>
  </si>
  <si>
    <t>DevOps và hỗ trợ Backend: Docker, CI/CD, GHCR, triển khai; Spring Security, CORS; API admin; xử lý lỗi, logging</t>
  </si>
  <si>
    <t>B24DTCN368</t>
  </si>
  <si>
    <t>Giảng viên hướng dẫn / Bên yêu cầu</t>
  </si>
  <si>
    <t>ThS. Bùi Thanh Hải</t>
  </si>
  <si>
    <t>Bộ môn/Khoa CNTT</t>
  </si>
  <si>
    <t>Giảng viên hướng dẫn</t>
  </si>
  <si>
    <t>Đánh giá, duyệt danh sách công việc và nghiệm thu đồ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</si>
</sst>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;;;"/>
  </numFmts>
  <fonts count="10" x14ac:knownFonts="1">
    <font>
      <color theme="1"/>
      <family val="2"/>
      <scheme val="minor"/>
      <sz val="11"/>
      <name val="Calibri"/>
    </font>
    <font>
      <b/>
      <color rgb="FF1F4E79"/>
      <sz val="12"/>
      <name val="Times New Roman"/>
    </font>
    <font>
      <color rgb="FF000000"/>
      <sz val="10"/>
      <name val="Times New Roman"/>
    </font>
    <font>
      <b/>
      <color rgb="FF000000"/>
      <sz val="10"/>
      <name val="Times New Roman"/>
    </font>
    <font>
      <i/>
      <color rgb="FF000000"/>
      <sz val="10"/>
      <name val="Times New Roman"/>
    </font>
    <font>
      <b/>
      <color rgb="FFFFFFFF"/>
      <sz val="10"/>
      <name val="Times New Roman"/>
    </font>
    <font>
      <sz val="8"/>
      <name val="Times New Roman"/>
    </font>
    <font>
      <b/>
      <color rgb="FF000000"/>
      <sz val="14"/>
      <name val="Times New Roman"/>
    </font>
    <font>
      <b/>
      <color rgb="FF000000"/>
      <sz val="12"/>
      <name val="Times New Roman"/>
    </font>
    <font>
      <color rgb="FF000000"/>
      <sz val="12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7F7F7F"/>
      </patternFill>
    </fill>
    <fill>
      <patternFill patternType="solid">
        <fgColor rgb="FFD3DDEE"/>
      </patternFill>
    </fill>
    <fill>
      <patternFill patternType="solid">
        <fgColor rgb="FF4472C4"/>
      </patternFill>
    </fill>
    <fill>
      <patternFill patternType="solid">
        <fgColor rgb="FF595959"/>
      </patternFill>
    </fill>
    <fill>
      <patternFill patternType="solid">
        <fgColor rgb="FF7D9ACE"/>
      </patternFill>
    </fill>
    <fill>
      <patternFill patternType="solid">
        <fgColor rgb="FFDEE7F5"/>
      </patternFill>
    </fill>
    <fill>
      <patternFill patternType="solid">
        <fgColor rgb="FFB4C7E7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D8D8D8"/>
      </right>
      <top/>
      <bottom style="hair">
        <color rgb="FFD8D8D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0" fillId="0" borderId="0" xfId="0" applyNumberFormat="1"/>
    <xf numFmtId="0" fontId="6" fillId="7" borderId="1" xfId="0" applyFont="1" applyFill="1" applyBorder="1" applyAlignment="1">
      <alignment horizontal="center" vertical="bottom" textRotation="90"/>
    </xf>
    <xf numFmtId="0" fontId="5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vertical="center" wrapText="1"/>
    </xf>
    <xf numFmtId="9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9" fontId="2" fillId="11" borderId="1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vertical="center" wrapText="1"/>
    </xf>
    <xf numFmtId="9" fontId="3" fillId="12" borderId="1" xfId="0" applyNumberFormat="1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7" fillId="0" borderId="0" xfId="0" applyFont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9">
    <dxf>
      <border>
        <left style="thin">
          <color rgb="FFC00000"/>
        </left>
        <right style="thin">
          <color rgb="FFC00000"/>
        </right>
        <top/>
        <bottom/>
        <diagonal/>
      </border>
    </dxf>
    <dxf>
      <fill>
        <patternFill patternType="solid">
          <bgColor rgb="FF1F3864"/>
        </patternFill>
      </fill>
    </dxf>
    <dxf>
      <fill>
        <patternFill patternType="solid">
          <bgColor rgb="FF2E75B6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F7F7F"/>
        </patternFill>
      </fill>
    </dxf>
    <dxf>
      <fill>
        <patternFill patternType="solid">
          <bgColor rgb="FF3F5F9F"/>
        </patternFill>
      </fill>
    </dxf>
    <dxf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52"/>
  <sheetViews>
    <sheetView workbookViewId="0">
      <pane xSplit="2" ySplit="7" topLeftCell="C8" activePane="bottomRight" state="frozen"/>
      <selection pane="bottomRight" activeCell="C9" sqref="C9"/>
    </sheetView>
  </sheetViews>
  <sheetFormatPr defaultRowHeight="15" outlineLevelRow="0" outlineLevelCol="0" x14ac:dyDescent="55"/>
  <cols>
    <col min="1" max="1" width="6" customWidth="1"/>
    <col min="2" max="2" width="72" customWidth="1"/>
    <col min="3" max="3" width="34" customWidth="1"/>
    <col min="4" max="4" width="12" customWidth="1"/>
    <col min="5" max="5" width="24" customWidth="1"/>
    <col min="7" max="8" width="12" customWidth="1"/>
    <col min="9" max="9" width="8" customWidth="1"/>
    <col min="10" max="11" width="12" customWidth="1"/>
    <col min="12" max="12" width="8" customWidth="1"/>
    <col min="13" max="40" width="3.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9" x14ac:dyDescent="0.25">
      <c r="A3" s="2" t="s">
        <v>2</v>
      </c>
      <c r="F3" s="3" t="s">
        <v>3</v>
      </c>
      <c r="G3" s="4">
        <v>46321</v>
      </c>
      <c r="I3" s="5" t="s">
        <v>4</v>
      </c>
    </row>
    <row r="4" spans="1:16" x14ac:dyDescent="0.25">
      <c r="A4" s="6" t="s">
        <v>5</v>
      </c>
      <c r="F4" s="3" t="s">
        <v>6</v>
      </c>
      <c r="G4" s="7" t="s">
        <v>7</v>
      </c>
      <c r="I4" s="8" t="s">
        <v>8</v>
      </c>
      <c r="J4" s="9" t="s">
        <v>9</v>
      </c>
      <c r="K4" s="10" t="s">
        <v>10</v>
      </c>
      <c r="L4" s="11" t="s">
        <v>11</v>
      </c>
      <c r="M4" s="12" t="s">
        <v>12</v>
      </c>
      <c r="N4" s="12"/>
      <c r="O4" s="12"/>
      <c r="P4" s="12"/>
    </row>
    <row r="5" spans="6:40" x14ac:dyDescent="0.25">
      <c r="F5" s="3" t="s">
        <v>13</v>
      </c>
      <c r="G5" s="7">
        <v>1</v>
      </c>
      <c r="M5" s="13">
        <f>$G$3+($G$5-1)</f>
      </c>
      <c r="N5" s="13">
        <f>M5+1</f>
      </c>
      <c r="O5" s="13">
        <f>N5+1</f>
      </c>
      <c r="P5" s="13">
        <f>O5+1</f>
      </c>
      <c r="Q5" s="13">
        <f>P5+1</f>
      </c>
      <c r="R5" s="13">
        <f>Q5+1</f>
      </c>
      <c r="S5" s="13">
        <f>R5+1</f>
      </c>
      <c r="T5" s="13">
        <f>S5+1</f>
      </c>
      <c r="U5" s="13">
        <f>T5+1</f>
      </c>
      <c r="V5" s="13">
        <f>U5+1</f>
      </c>
      <c r="W5" s="13">
        <f>V5+1</f>
      </c>
      <c r="X5" s="13">
        <f>W5+1</f>
      </c>
      <c r="Y5" s="13">
        <f>X5+1</f>
      </c>
      <c r="Z5" s="13">
        <f>Y5+1</f>
      </c>
      <c r="AA5" s="13">
        <f>Z5+1</f>
      </c>
      <c r="AB5" s="13">
        <f>AA5+1</f>
      </c>
      <c r="AC5" s="13">
        <f>AB5+1</f>
      </c>
      <c r="AD5" s="13">
        <f>AC5+1</f>
      </c>
      <c r="AE5" s="13">
        <f>AD5+1</f>
      </c>
      <c r="AF5" s="13">
        <f>AE5+1</f>
      </c>
      <c r="AG5" s="13">
        <f>AF5+1</f>
      </c>
      <c r="AH5" s="13">
        <f>AG5+1</f>
      </c>
      <c r="AI5" s="13">
        <f>AH5+1</f>
      </c>
      <c r="AJ5" s="13">
        <f>AI5+1</f>
      </c>
      <c r="AK5" s="13">
        <f>AJ5+1</f>
      </c>
      <c r="AL5" s="13">
        <f>AK5+1</f>
      </c>
      <c r="AM5" s="13">
        <f>AL5+1</f>
      </c>
      <c r="AN5" s="13">
        <f>AM5+1</f>
      </c>
    </row>
    <row r="6" ht="36" customHeight="1" spans="13:40" x14ac:dyDescent="0.25">
      <c r="M6" s="14">
        <f>TEXT(M5,"dd/mm")</f>
      </c>
      <c r="N6" s="14">
        <f>TEXT(N5,"dd/mm")</f>
      </c>
      <c r="O6" s="14">
        <f>TEXT(O5,"dd/mm")</f>
      </c>
      <c r="P6" s="14">
        <f>TEXT(P5,"dd/mm")</f>
      </c>
      <c r="Q6" s="14">
        <f>TEXT(Q5,"dd/mm")</f>
      </c>
      <c r="R6" s="14">
        <f>TEXT(R5,"dd/mm")</f>
      </c>
      <c r="S6" s="14">
        <f>TEXT(S5,"dd/mm")</f>
      </c>
      <c r="T6" s="14">
        <f>TEXT(T5,"dd/mm")</f>
      </c>
      <c r="U6" s="14">
        <f>TEXT(U5,"dd/mm")</f>
      </c>
      <c r="V6" s="14">
        <f>TEXT(V5,"dd/mm")</f>
      </c>
      <c r="W6" s="14">
        <f>TEXT(W5,"dd/mm")</f>
      </c>
      <c r="X6" s="14">
        <f>TEXT(X5,"dd/mm")</f>
      </c>
      <c r="Y6" s="14">
        <f>TEXT(Y5,"dd/mm")</f>
      </c>
      <c r="Z6" s="14">
        <f>TEXT(Z5,"dd/mm")</f>
      </c>
      <c r="AA6" s="14">
        <f>TEXT(AA5,"dd/mm")</f>
      </c>
      <c r="AB6" s="14">
        <f>TEXT(AB5,"dd/mm")</f>
      </c>
      <c r="AC6" s="14">
        <f>TEXT(AC5,"dd/mm")</f>
      </c>
      <c r="AD6" s="14">
        <f>TEXT(AD5,"dd/mm")</f>
      </c>
      <c r="AE6" s="14">
        <f>TEXT(AE5,"dd/mm")</f>
      </c>
      <c r="AF6" s="14">
        <f>TEXT(AF5,"dd/mm")</f>
      </c>
      <c r="AG6" s="14">
        <f>TEXT(AG5,"dd/mm")</f>
      </c>
      <c r="AH6" s="14">
        <f>TEXT(AH5,"dd/mm")</f>
      </c>
      <c r="AI6" s="14">
        <f>TEXT(AI5,"dd/mm")</f>
      </c>
      <c r="AJ6" s="14">
        <f>TEXT(AJ5,"dd/mm")</f>
      </c>
      <c r="AK6" s="14">
        <f>TEXT(AK5,"dd/mm")</f>
      </c>
      <c r="AL6" s="14">
        <f>TEXT(AL5,"dd/mm")</f>
      </c>
      <c r="AM6" s="14">
        <f>TEXT(AM5,"dd/mm")</f>
      </c>
      <c r="AN6" s="14">
        <f>TEXT(AN5,"dd/mm")</f>
      </c>
    </row>
    <row r="7" ht="30" customHeight="1" spans="1:40" x14ac:dyDescent="0.25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6" t="s">
        <v>20</v>
      </c>
      <c r="H7" s="16" t="s">
        <v>21</v>
      </c>
      <c r="I7" s="16" t="s">
        <v>22</v>
      </c>
      <c r="J7" s="17" t="s">
        <v>23</v>
      </c>
      <c r="K7" s="17" t="s">
        <v>24</v>
      </c>
      <c r="L7" s="17" t="s">
        <v>25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9" spans="1:40" x14ac:dyDescent="0.25">
      <c r="A9" s="19" t="s">
        <v>26</v>
      </c>
      <c r="B9" s="20" t="s">
        <v>27</v>
      </c>
      <c r="C9" s="21" t="s">
        <v>28</v>
      </c>
      <c r="D9" s="21" t="s">
        <v>28</v>
      </c>
      <c r="E9" s="21" t="s">
        <v>28</v>
      </c>
      <c r="F9" s="22">
        <f>AVERAGE(F10:F36)</f>
      </c>
      <c r="G9" s="23">
        <f>MIN(G10:G36)</f>
      </c>
      <c r="H9" s="23">
        <f>MAX(H10:H36)</f>
      </c>
      <c r="I9" s="19">
        <f>NETWORKDAYS(G9,H9)</f>
      </c>
      <c r="J9" s="23">
        <f>IF(COUNT(J10:J36)=0,"",MIN(J10:J36))</f>
      </c>
      <c r="K9" s="23">
        <f>IF(COUNT(K10:K36)=0,"",MAX(K10:K36))</f>
      </c>
      <c r="L9" s="19">
        <f>IF(OR(J9="",K9=""),"",NETWORKDAYS(J9,K9))</f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ht="15" customHeight="1" spans="1:40" x14ac:dyDescent="0.25">
      <c r="A10" s="25">
        <v>1</v>
      </c>
      <c r="B10" s="26" t="s">
        <v>29</v>
      </c>
      <c r="C10" s="26" t="s">
        <v>30</v>
      </c>
      <c r="D10" s="25" t="s">
        <v>8</v>
      </c>
      <c r="E10" s="25" t="s">
        <v>9</v>
      </c>
      <c r="F10" s="27">
        <v>0</v>
      </c>
      <c r="G10" s="28">
        <v>46321</v>
      </c>
      <c r="H10" s="28">
        <v>46321</v>
      </c>
      <c r="I10" s="29">
        <f>NETWORKDAYS(G10,H10)</f>
      </c>
      <c r="J10" s="28"/>
      <c r="K10" s="28"/>
      <c r="L10" s="29">
        <f>IF(OR(J10="",K10=""),"",NETWORKDAYS(J10,K10))</f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</row>
    <row r="11" ht="15" customHeight="1" spans="1:40" x14ac:dyDescent="0.25">
      <c r="A11" s="25">
        <v>2</v>
      </c>
      <c r="B11" s="26" t="s">
        <v>31</v>
      </c>
      <c r="C11" s="26" t="s">
        <v>32</v>
      </c>
      <c r="D11" s="25" t="s">
        <v>8</v>
      </c>
      <c r="E11" s="25" t="s">
        <v>9</v>
      </c>
      <c r="F11" s="27">
        <v>0</v>
      </c>
      <c r="G11" s="28">
        <v>46321</v>
      </c>
      <c r="H11" s="28">
        <v>46321</v>
      </c>
      <c r="I11" s="29">
        <f>NETWORKDAYS(G11,H11)</f>
      </c>
      <c r="J11" s="28"/>
      <c r="K11" s="28"/>
      <c r="L11" s="29">
        <f>IF(OR(J11="",K11=""),"",NETWORKDAYS(J11,K11))</f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</row>
    <row r="12" ht="27" customHeight="1" spans="1:40" x14ac:dyDescent="0.25">
      <c r="A12" s="25">
        <v>3</v>
      </c>
      <c r="B12" s="26" t="s">
        <v>33</v>
      </c>
      <c r="C12" s="26" t="s">
        <v>34</v>
      </c>
      <c r="D12" s="25" t="s">
        <v>8</v>
      </c>
      <c r="E12" s="25" t="s">
        <v>9</v>
      </c>
      <c r="F12" s="27">
        <v>0</v>
      </c>
      <c r="G12" s="28">
        <v>46321</v>
      </c>
      <c r="H12" s="28">
        <v>46321</v>
      </c>
      <c r="I12" s="29">
        <f>NETWORKDAYS(G12,H12)</f>
      </c>
      <c r="J12" s="28"/>
      <c r="K12" s="28"/>
      <c r="L12" s="29">
        <f>IF(OR(J12="",K12=""),"",NETWORKDAYS(J12,K12))</f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ht="15" customHeight="1" spans="1:40" x14ac:dyDescent="0.25">
      <c r="A13" s="25">
        <v>4</v>
      </c>
      <c r="B13" s="26" t="s">
        <v>35</v>
      </c>
      <c r="C13" s="26" t="s">
        <v>36</v>
      </c>
      <c r="D13" s="25" t="s">
        <v>8</v>
      </c>
      <c r="E13" s="25" t="s">
        <v>9</v>
      </c>
      <c r="F13" s="27">
        <v>0</v>
      </c>
      <c r="G13" s="28">
        <v>46321</v>
      </c>
      <c r="H13" s="28">
        <v>46321</v>
      </c>
      <c r="I13" s="29">
        <f>NETWORKDAYS(G13,H13)</f>
      </c>
      <c r="J13" s="28"/>
      <c r="K13" s="28"/>
      <c r="L13" s="29">
        <f>IF(OR(J13="",K13=""),"",NETWORKDAYS(J13,K13))</f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</row>
    <row r="14" ht="15" customHeight="1" spans="1:40" x14ac:dyDescent="0.25">
      <c r="A14" s="25">
        <v>5</v>
      </c>
      <c r="B14" s="26" t="s">
        <v>37</v>
      </c>
      <c r="C14" s="26" t="s">
        <v>38</v>
      </c>
      <c r="D14" s="25" t="s">
        <v>8</v>
      </c>
      <c r="E14" s="25" t="s">
        <v>9</v>
      </c>
      <c r="F14" s="27">
        <v>0</v>
      </c>
      <c r="G14" s="28">
        <v>46322</v>
      </c>
      <c r="H14" s="28">
        <v>46322</v>
      </c>
      <c r="I14" s="29">
        <f>NETWORKDAYS(G14,H14)</f>
      </c>
      <c r="J14" s="28"/>
      <c r="K14" s="28"/>
      <c r="L14" s="29">
        <f>IF(OR(J14="",K14=""),"",NETWORKDAYS(J14,K14))</f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</row>
    <row r="15" ht="15" customHeight="1" spans="1:40" x14ac:dyDescent="0.25">
      <c r="A15" s="25">
        <v>6</v>
      </c>
      <c r="B15" s="26" t="s">
        <v>39</v>
      </c>
      <c r="C15" s="26" t="s">
        <v>40</v>
      </c>
      <c r="D15" s="25" t="s">
        <v>11</v>
      </c>
      <c r="E15" s="25" t="s">
        <v>9</v>
      </c>
      <c r="F15" s="27">
        <v>0</v>
      </c>
      <c r="G15" s="28">
        <v>46322</v>
      </c>
      <c r="H15" s="28">
        <v>46322</v>
      </c>
      <c r="I15" s="29">
        <f>NETWORKDAYS(G15,H15)</f>
      </c>
      <c r="J15" s="28"/>
      <c r="K15" s="28"/>
      <c r="L15" s="29">
        <f>IF(OR(J15="",K15=""),"",NETWORKDAYS(J15,K15))</f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</row>
    <row r="16" ht="15" customHeight="1" spans="1:40" x14ac:dyDescent="0.25">
      <c r="A16" s="25">
        <v>7</v>
      </c>
      <c r="B16" s="26" t="s">
        <v>41</v>
      </c>
      <c r="C16" s="26" t="s">
        <v>42</v>
      </c>
      <c r="D16" s="25" t="s">
        <v>11</v>
      </c>
      <c r="E16" s="25" t="s">
        <v>9</v>
      </c>
      <c r="F16" s="27">
        <v>0</v>
      </c>
      <c r="G16" s="28">
        <v>46322</v>
      </c>
      <c r="H16" s="28">
        <v>46322</v>
      </c>
      <c r="I16" s="29">
        <f>NETWORKDAYS(G16,H16)</f>
      </c>
      <c r="J16" s="28"/>
      <c r="K16" s="28"/>
      <c r="L16" s="29">
        <f>IF(OR(J16="",K16=""),"",NETWORKDAYS(J16,K16))</f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</row>
    <row r="17" ht="15" customHeight="1" spans="1:40" x14ac:dyDescent="0.25">
      <c r="A17" s="25">
        <v>8</v>
      </c>
      <c r="B17" s="26" t="s">
        <v>43</v>
      </c>
      <c r="C17" s="26" t="s">
        <v>38</v>
      </c>
      <c r="D17" s="25" t="s">
        <v>8</v>
      </c>
      <c r="E17" s="25" t="s">
        <v>9</v>
      </c>
      <c r="F17" s="27">
        <v>0</v>
      </c>
      <c r="G17" s="28">
        <v>46324</v>
      </c>
      <c r="H17" s="28">
        <v>46324</v>
      </c>
      <c r="I17" s="29">
        <f>NETWORKDAYS(G17,H17)</f>
      </c>
      <c r="J17" s="28"/>
      <c r="K17" s="28"/>
      <c r="L17" s="29">
        <f>IF(OR(J17="",K17=""),"",NETWORKDAYS(J17,K17))</f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</row>
    <row r="18" ht="15" customHeight="1" spans="1:40" x14ac:dyDescent="0.25">
      <c r="A18" s="25">
        <v>9</v>
      </c>
      <c r="B18" s="26" t="s">
        <v>44</v>
      </c>
      <c r="C18" s="26" t="s">
        <v>45</v>
      </c>
      <c r="D18" s="25" t="s">
        <v>8</v>
      </c>
      <c r="E18" s="25" t="s">
        <v>9</v>
      </c>
      <c r="F18" s="27">
        <v>0</v>
      </c>
      <c r="G18" s="28">
        <v>46325</v>
      </c>
      <c r="H18" s="28">
        <v>46325</v>
      </c>
      <c r="I18" s="29">
        <f>NETWORKDAYS(G18,H18)</f>
      </c>
      <c r="J18" s="28"/>
      <c r="K18" s="28"/>
      <c r="L18" s="29">
        <f>IF(OR(J18="",K18=""),"",NETWORKDAYS(J18,K18))</f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</row>
    <row r="19" ht="15" customHeight="1" spans="1:40" x14ac:dyDescent="0.25">
      <c r="A19" s="25">
        <v>10</v>
      </c>
      <c r="B19" s="26" t="s">
        <v>46</v>
      </c>
      <c r="C19" s="26" t="s">
        <v>47</v>
      </c>
      <c r="D19" s="25" t="s">
        <v>8</v>
      </c>
      <c r="E19" s="25" t="s">
        <v>9</v>
      </c>
      <c r="F19" s="27">
        <v>0</v>
      </c>
      <c r="G19" s="28">
        <v>46325</v>
      </c>
      <c r="H19" s="28">
        <v>46325</v>
      </c>
      <c r="I19" s="29">
        <f>NETWORKDAYS(G19,H19)</f>
      </c>
      <c r="J19" s="28"/>
      <c r="K19" s="28"/>
      <c r="L19" s="29">
        <f>IF(OR(J19="",K19=""),"",NETWORKDAYS(J19,K19))</f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</row>
    <row r="20" ht="15" customHeight="1" spans="1:40" x14ac:dyDescent="0.25">
      <c r="A20" s="25">
        <v>11</v>
      </c>
      <c r="B20" s="26" t="s">
        <v>48</v>
      </c>
      <c r="C20" s="26" t="s">
        <v>47</v>
      </c>
      <c r="D20" s="25" t="s">
        <v>10</v>
      </c>
      <c r="E20" s="25" t="s">
        <v>8</v>
      </c>
      <c r="F20" s="27">
        <v>0</v>
      </c>
      <c r="G20" s="28">
        <v>46325</v>
      </c>
      <c r="H20" s="28">
        <v>46325</v>
      </c>
      <c r="I20" s="29">
        <f>NETWORKDAYS(G20,H20)</f>
      </c>
      <c r="J20" s="28"/>
      <c r="K20" s="28"/>
      <c r="L20" s="29">
        <f>IF(OR(J20="",K20=""),"",NETWORKDAYS(J20,K20))</f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</row>
    <row r="21" ht="15" customHeight="1" spans="1:40" x14ac:dyDescent="0.25">
      <c r="A21" s="25">
        <v>12</v>
      </c>
      <c r="B21" s="26" t="s">
        <v>49</v>
      </c>
      <c r="C21" s="26" t="s">
        <v>47</v>
      </c>
      <c r="D21" s="25" t="s">
        <v>11</v>
      </c>
      <c r="E21" s="25" t="s">
        <v>9</v>
      </c>
      <c r="F21" s="27">
        <v>0</v>
      </c>
      <c r="G21" s="28">
        <v>46325</v>
      </c>
      <c r="H21" s="28">
        <v>46325</v>
      </c>
      <c r="I21" s="29">
        <f>NETWORKDAYS(G21,H21)</f>
      </c>
      <c r="J21" s="28"/>
      <c r="K21" s="28"/>
      <c r="L21" s="29">
        <f>IF(OR(J21="",K21=""),"",NETWORKDAYS(J21,K21))</f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</row>
    <row r="22" ht="15" customHeight="1" spans="1:40" x14ac:dyDescent="0.25">
      <c r="A22" s="25">
        <v>13</v>
      </c>
      <c r="B22" s="26" t="s">
        <v>50</v>
      </c>
      <c r="C22" s="26" t="s">
        <v>45</v>
      </c>
      <c r="D22" s="25" t="s">
        <v>8</v>
      </c>
      <c r="E22" s="25" t="s">
        <v>9</v>
      </c>
      <c r="F22" s="27">
        <v>0</v>
      </c>
      <c r="G22" s="28">
        <v>46330</v>
      </c>
      <c r="H22" s="28">
        <v>46330</v>
      </c>
      <c r="I22" s="29">
        <f>NETWORKDAYS(G22,H22)</f>
      </c>
      <c r="J22" s="28"/>
      <c r="K22" s="28"/>
      <c r="L22" s="29">
        <f>IF(OR(J22="",K22=""),"",NETWORKDAYS(J22,K22))</f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ht="15" customHeight="1" spans="1:40" x14ac:dyDescent="0.25">
      <c r="A23" s="25">
        <v>14</v>
      </c>
      <c r="B23" s="26" t="s">
        <v>51</v>
      </c>
      <c r="C23" s="26" t="s">
        <v>45</v>
      </c>
      <c r="D23" s="25" t="s">
        <v>8</v>
      </c>
      <c r="E23" s="25" t="s">
        <v>9</v>
      </c>
      <c r="F23" s="27">
        <v>0</v>
      </c>
      <c r="G23" s="28">
        <v>46331</v>
      </c>
      <c r="H23" s="28">
        <v>46331</v>
      </c>
      <c r="I23" s="29">
        <f>NETWORKDAYS(G23,H23)</f>
      </c>
      <c r="J23" s="28"/>
      <c r="K23" s="28"/>
      <c r="L23" s="29">
        <f>IF(OR(J23="",K23=""),"",NETWORKDAYS(J23,K23))</f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5" customHeight="1" spans="1:40" x14ac:dyDescent="0.25">
      <c r="A24" s="25">
        <v>15</v>
      </c>
      <c r="B24" s="26" t="s">
        <v>52</v>
      </c>
      <c r="C24" s="26" t="s">
        <v>53</v>
      </c>
      <c r="D24" s="25" t="s">
        <v>8</v>
      </c>
      <c r="E24" s="25" t="s">
        <v>9</v>
      </c>
      <c r="F24" s="27">
        <v>0</v>
      </c>
      <c r="G24" s="28">
        <v>46332</v>
      </c>
      <c r="H24" s="28">
        <v>46332</v>
      </c>
      <c r="I24" s="29">
        <f>NETWORKDAYS(G24,H24)</f>
      </c>
      <c r="J24" s="28"/>
      <c r="K24" s="28"/>
      <c r="L24" s="29">
        <f>IF(OR(J24="",K24=""),"",NETWORKDAYS(J24,K24))</f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5" customHeight="1" spans="1:40" x14ac:dyDescent="0.25">
      <c r="A25" s="25">
        <v>16</v>
      </c>
      <c r="B25" s="26" t="s">
        <v>54</v>
      </c>
      <c r="C25" s="26" t="s">
        <v>47</v>
      </c>
      <c r="D25" s="25" t="s">
        <v>8</v>
      </c>
      <c r="E25" s="25" t="s">
        <v>9</v>
      </c>
      <c r="F25" s="27">
        <v>0</v>
      </c>
      <c r="G25" s="28">
        <v>46332</v>
      </c>
      <c r="H25" s="28">
        <v>46332</v>
      </c>
      <c r="I25" s="29">
        <f>NETWORKDAYS(G25,H25)</f>
      </c>
      <c r="J25" s="28"/>
      <c r="K25" s="28"/>
      <c r="L25" s="29">
        <f>IF(OR(J25="",K25=""),"",NETWORKDAYS(J25,K25))</f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</row>
    <row r="26" ht="15" customHeight="1" spans="1:40" x14ac:dyDescent="0.25">
      <c r="A26" s="25">
        <v>17</v>
      </c>
      <c r="B26" s="26" t="s">
        <v>55</v>
      </c>
      <c r="C26" s="26" t="s">
        <v>47</v>
      </c>
      <c r="D26" s="25" t="s">
        <v>10</v>
      </c>
      <c r="E26" s="25" t="s">
        <v>8</v>
      </c>
      <c r="F26" s="27">
        <v>0</v>
      </c>
      <c r="G26" s="28">
        <v>46332</v>
      </c>
      <c r="H26" s="28">
        <v>46332</v>
      </c>
      <c r="I26" s="29">
        <f>NETWORKDAYS(G26,H26)</f>
      </c>
      <c r="J26" s="28"/>
      <c r="K26" s="28"/>
      <c r="L26" s="29">
        <f>IF(OR(J26="",K26=""),"",NETWORKDAYS(J26,K26))</f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</row>
    <row r="27" ht="15" customHeight="1" spans="1:40" x14ac:dyDescent="0.25">
      <c r="A27" s="25">
        <v>18</v>
      </c>
      <c r="B27" s="26" t="s">
        <v>56</v>
      </c>
      <c r="C27" s="26" t="s">
        <v>47</v>
      </c>
      <c r="D27" s="25" t="s">
        <v>11</v>
      </c>
      <c r="E27" s="25" t="s">
        <v>9</v>
      </c>
      <c r="F27" s="27">
        <v>0</v>
      </c>
      <c r="G27" s="28">
        <v>46332</v>
      </c>
      <c r="H27" s="28">
        <v>46332</v>
      </c>
      <c r="I27" s="29">
        <f>NETWORKDAYS(G27,H27)</f>
      </c>
      <c r="J27" s="28"/>
      <c r="K27" s="28"/>
      <c r="L27" s="29">
        <f>IF(OR(J27="",K27=""),"",NETWORKDAYS(J27,K27))</f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5" customHeight="1" spans="1:40" x14ac:dyDescent="0.25">
      <c r="A28" s="25">
        <v>19</v>
      </c>
      <c r="B28" s="26" t="s">
        <v>57</v>
      </c>
      <c r="C28" s="26" t="s">
        <v>45</v>
      </c>
      <c r="D28" s="25" t="s">
        <v>8</v>
      </c>
      <c r="E28" s="25" t="s">
        <v>9</v>
      </c>
      <c r="F28" s="27">
        <v>0</v>
      </c>
      <c r="G28" s="28">
        <v>46336</v>
      </c>
      <c r="H28" s="28">
        <v>46336</v>
      </c>
      <c r="I28" s="29">
        <f>NETWORKDAYS(G28,H28)</f>
      </c>
      <c r="J28" s="28"/>
      <c r="K28" s="28"/>
      <c r="L28" s="29">
        <f>IF(OR(J28="",K28=""),"",NETWORKDAYS(J28,K28))</f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</row>
    <row r="29" ht="15" customHeight="1" spans="1:40" x14ac:dyDescent="0.25">
      <c r="A29" s="25">
        <v>20</v>
      </c>
      <c r="B29" s="26" t="s">
        <v>58</v>
      </c>
      <c r="C29" s="26" t="s">
        <v>59</v>
      </c>
      <c r="D29" s="25" t="s">
        <v>8</v>
      </c>
      <c r="E29" s="25" t="s">
        <v>9</v>
      </c>
      <c r="F29" s="27">
        <v>0</v>
      </c>
      <c r="G29" s="28">
        <v>46337</v>
      </c>
      <c r="H29" s="28">
        <v>46337</v>
      </c>
      <c r="I29" s="29">
        <f>NETWORKDAYS(G29,H29)</f>
      </c>
      <c r="J29" s="28"/>
      <c r="K29" s="28"/>
      <c r="L29" s="29">
        <f>IF(OR(J29="",K29=""),"",NETWORKDAYS(J29,K29))</f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5" customHeight="1" spans="1:40" x14ac:dyDescent="0.25">
      <c r="A30" s="25">
        <v>21</v>
      </c>
      <c r="B30" s="26" t="s">
        <v>60</v>
      </c>
      <c r="C30" s="26" t="s">
        <v>45</v>
      </c>
      <c r="D30" s="25" t="s">
        <v>8</v>
      </c>
      <c r="E30" s="25" t="s">
        <v>9</v>
      </c>
      <c r="F30" s="27">
        <v>0</v>
      </c>
      <c r="G30" s="28">
        <v>46337</v>
      </c>
      <c r="H30" s="28">
        <v>46337</v>
      </c>
      <c r="I30" s="29">
        <f>NETWORKDAYS(G30,H30)</f>
      </c>
      <c r="J30" s="28"/>
      <c r="K30" s="28"/>
      <c r="L30" s="29">
        <f>IF(OR(J30="",K30=""),"",NETWORKDAYS(J30,K30))</f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</row>
    <row r="31" ht="15" customHeight="1" spans="1:40" x14ac:dyDescent="0.25">
      <c r="A31" s="25">
        <v>22</v>
      </c>
      <c r="B31" s="26" t="s">
        <v>61</v>
      </c>
      <c r="C31" s="26" t="s">
        <v>62</v>
      </c>
      <c r="D31" s="25" t="s">
        <v>8</v>
      </c>
      <c r="E31" s="25" t="s">
        <v>9</v>
      </c>
      <c r="F31" s="27">
        <v>0</v>
      </c>
      <c r="G31" s="28">
        <v>46338</v>
      </c>
      <c r="H31" s="28">
        <v>46338</v>
      </c>
      <c r="I31" s="29">
        <f>NETWORKDAYS(G31,H31)</f>
      </c>
      <c r="J31" s="28"/>
      <c r="K31" s="28"/>
      <c r="L31" s="29">
        <f>IF(OR(J31="",K31=""),"",NETWORKDAYS(J31,K31))</f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</row>
    <row r="32" ht="15" customHeight="1" spans="1:40" x14ac:dyDescent="0.25">
      <c r="A32" s="25">
        <v>23</v>
      </c>
      <c r="B32" s="26" t="s">
        <v>63</v>
      </c>
      <c r="C32" s="26" t="s">
        <v>47</v>
      </c>
      <c r="D32" s="25" t="s">
        <v>8</v>
      </c>
      <c r="E32" s="25" t="s">
        <v>9</v>
      </c>
      <c r="F32" s="27">
        <v>0</v>
      </c>
      <c r="G32" s="28">
        <v>46339</v>
      </c>
      <c r="H32" s="28">
        <v>46339</v>
      </c>
      <c r="I32" s="29">
        <f>NETWORKDAYS(G32,H32)</f>
      </c>
      <c r="J32" s="28"/>
      <c r="K32" s="28"/>
      <c r="L32" s="29">
        <f>IF(OR(J32="",K32=""),"",NETWORKDAYS(J32,K32))</f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</row>
    <row r="33" ht="15" customHeight="1" spans="1:40" x14ac:dyDescent="0.25">
      <c r="A33" s="25">
        <v>24</v>
      </c>
      <c r="B33" s="26" t="s">
        <v>64</v>
      </c>
      <c r="C33" s="26" t="s">
        <v>65</v>
      </c>
      <c r="D33" s="25" t="s">
        <v>9</v>
      </c>
      <c r="E33" s="25" t="s">
        <v>11</v>
      </c>
      <c r="F33" s="27">
        <v>0</v>
      </c>
      <c r="G33" s="28">
        <v>46339</v>
      </c>
      <c r="H33" s="28">
        <v>46339</v>
      </c>
      <c r="I33" s="29">
        <f>NETWORKDAYS(G33,H33)</f>
      </c>
      <c r="J33" s="28"/>
      <c r="K33" s="28"/>
      <c r="L33" s="29">
        <f>IF(OR(J33="",K33=""),"",NETWORKDAYS(J33,K33))</f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</row>
    <row r="34" ht="15" customHeight="1" spans="1:40" x14ac:dyDescent="0.25">
      <c r="A34" s="25">
        <v>25</v>
      </c>
      <c r="B34" s="26" t="s">
        <v>66</v>
      </c>
      <c r="C34" s="26" t="s">
        <v>47</v>
      </c>
      <c r="D34" s="25" t="s">
        <v>9</v>
      </c>
      <c r="E34" s="25" t="s">
        <v>11</v>
      </c>
      <c r="F34" s="27">
        <v>0</v>
      </c>
      <c r="G34" s="28">
        <v>46339</v>
      </c>
      <c r="H34" s="28">
        <v>46339</v>
      </c>
      <c r="I34" s="29">
        <f>NETWORKDAYS(G34,H34)</f>
      </c>
      <c r="J34" s="28"/>
      <c r="K34" s="28"/>
      <c r="L34" s="29">
        <f>IF(OR(J34="",K34=""),"",NETWORKDAYS(J34,K34))</f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5" customHeight="1" spans="1:40" x14ac:dyDescent="0.25">
      <c r="A35" s="25">
        <v>26</v>
      </c>
      <c r="B35" s="26" t="s">
        <v>67</v>
      </c>
      <c r="C35" s="26" t="s">
        <v>47</v>
      </c>
      <c r="D35" s="25" t="s">
        <v>10</v>
      </c>
      <c r="E35" s="25" t="s">
        <v>8</v>
      </c>
      <c r="F35" s="27">
        <v>0</v>
      </c>
      <c r="G35" s="28">
        <v>46339</v>
      </c>
      <c r="H35" s="28">
        <v>46339</v>
      </c>
      <c r="I35" s="29">
        <f>NETWORKDAYS(G35,H35)</f>
      </c>
      <c r="J35" s="28"/>
      <c r="K35" s="28"/>
      <c r="L35" s="29">
        <f>IF(OR(J35="",K35=""),"",NETWORKDAYS(J35,K35))</f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5" customHeight="1" spans="1:40" x14ac:dyDescent="0.25">
      <c r="A36" s="25">
        <v>27</v>
      </c>
      <c r="B36" s="26" t="s">
        <v>68</v>
      </c>
      <c r="C36" s="26" t="s">
        <v>47</v>
      </c>
      <c r="D36" s="25" t="s">
        <v>11</v>
      </c>
      <c r="E36" s="25" t="s">
        <v>9</v>
      </c>
      <c r="F36" s="27">
        <v>0</v>
      </c>
      <c r="G36" s="28">
        <v>46339</v>
      </c>
      <c r="H36" s="28">
        <v>46339</v>
      </c>
      <c r="I36" s="29">
        <f>NETWORKDAYS(G36,H36)</f>
      </c>
      <c r="J36" s="28"/>
      <c r="K36" s="28"/>
      <c r="L36" s="29">
        <f>IF(OR(J36="",K36=""),"",NETWORKDAYS(J36,K36))</f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</row>
    <row r="37" spans="1:40" x14ac:dyDescent="0.25">
      <c r="A37" s="19" t="s">
        <v>69</v>
      </c>
      <c r="B37" s="20" t="s">
        <v>70</v>
      </c>
      <c r="C37" s="21" t="s">
        <v>28</v>
      </c>
      <c r="D37" s="21" t="s">
        <v>28</v>
      </c>
      <c r="E37" s="21" t="s">
        <v>28</v>
      </c>
      <c r="F37" s="22">
        <f>AVERAGE(F38:F59)</f>
      </c>
      <c r="G37" s="23">
        <f>MIN(G38:G59)</f>
      </c>
      <c r="H37" s="23">
        <f>MAX(H38:H59)</f>
      </c>
      <c r="I37" s="19">
        <f>NETWORKDAYS(G37,H37)</f>
      </c>
      <c r="J37" s="23">
        <f>IF(COUNT(J38:J59)=0,"",MIN(J38:J59))</f>
      </c>
      <c r="K37" s="23">
        <f>IF(COUNT(K38:K59)=0,"",MAX(K38:K59))</f>
      </c>
      <c r="L37" s="19">
        <f>IF(OR(J37="",K37=""),"",NETWORKDAYS(J37,K37))</f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ht="15" customHeight="1" spans="1:40" x14ac:dyDescent="0.25">
      <c r="A38" s="25">
        <v>1</v>
      </c>
      <c r="B38" s="26" t="s">
        <v>71</v>
      </c>
      <c r="C38" s="26" t="s">
        <v>72</v>
      </c>
      <c r="D38" s="25" t="s">
        <v>8</v>
      </c>
      <c r="E38" s="25" t="s">
        <v>9</v>
      </c>
      <c r="F38" s="27">
        <v>0</v>
      </c>
      <c r="G38" s="28">
        <v>46321</v>
      </c>
      <c r="H38" s="28">
        <v>46321</v>
      </c>
      <c r="I38" s="29">
        <f>NETWORKDAYS(G38,H38)</f>
      </c>
      <c r="J38" s="28"/>
      <c r="K38" s="28"/>
      <c r="L38" s="29">
        <f>IF(OR(J38="",K38=""),"",NETWORKDAYS(J38,K38))</f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</row>
    <row r="39" ht="15" customHeight="1" spans="1:40" x14ac:dyDescent="0.25">
      <c r="A39" s="25">
        <v>2</v>
      </c>
      <c r="B39" s="26" t="s">
        <v>73</v>
      </c>
      <c r="C39" s="26" t="s">
        <v>74</v>
      </c>
      <c r="D39" s="25" t="s">
        <v>9</v>
      </c>
      <c r="E39" s="25" t="s">
        <v>11</v>
      </c>
      <c r="F39" s="27">
        <v>0</v>
      </c>
      <c r="G39" s="28">
        <v>46321</v>
      </c>
      <c r="H39" s="28">
        <v>46321</v>
      </c>
      <c r="I39" s="29">
        <f>NETWORKDAYS(G39,H39)</f>
      </c>
      <c r="J39" s="28"/>
      <c r="K39" s="28"/>
      <c r="L39" s="29">
        <f>IF(OR(J39="",K39=""),"",NETWORKDAYS(J39,K39))</f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5" customHeight="1" spans="1:40" x14ac:dyDescent="0.25">
      <c r="A40" s="25">
        <v>3</v>
      </c>
      <c r="B40" s="26" t="s">
        <v>75</v>
      </c>
      <c r="C40" s="26" t="s">
        <v>76</v>
      </c>
      <c r="D40" s="25" t="s">
        <v>9</v>
      </c>
      <c r="E40" s="25" t="s">
        <v>11</v>
      </c>
      <c r="F40" s="27">
        <v>0</v>
      </c>
      <c r="G40" s="28">
        <v>46321</v>
      </c>
      <c r="H40" s="28">
        <v>46321</v>
      </c>
      <c r="I40" s="29">
        <f>NETWORKDAYS(G40,H40)</f>
      </c>
      <c r="J40" s="28"/>
      <c r="K40" s="28"/>
      <c r="L40" s="29">
        <f>IF(OR(J40="",K40=""),"",NETWORKDAYS(J40,K40))</f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5" customHeight="1" spans="1:40" x14ac:dyDescent="0.25">
      <c r="A41" s="25">
        <v>4</v>
      </c>
      <c r="B41" s="26" t="s">
        <v>77</v>
      </c>
      <c r="C41" s="26" t="s">
        <v>78</v>
      </c>
      <c r="D41" s="25" t="s">
        <v>10</v>
      </c>
      <c r="E41" s="25" t="s">
        <v>8</v>
      </c>
      <c r="F41" s="27">
        <v>0</v>
      </c>
      <c r="G41" s="28">
        <v>46321</v>
      </c>
      <c r="H41" s="28">
        <v>46321</v>
      </c>
      <c r="I41" s="29">
        <f>NETWORKDAYS(G41,H41)</f>
      </c>
      <c r="J41" s="28"/>
      <c r="K41" s="28"/>
      <c r="L41" s="29">
        <f>IF(OR(J41="",K41=""),"",NETWORKDAYS(J41,K41))</f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ht="15" customHeight="1" spans="1:40" x14ac:dyDescent="0.25">
      <c r="A42" s="25">
        <v>5</v>
      </c>
      <c r="B42" s="26" t="s">
        <v>79</v>
      </c>
      <c r="C42" s="26" t="s">
        <v>80</v>
      </c>
      <c r="D42" s="25" t="s">
        <v>10</v>
      </c>
      <c r="E42" s="25" t="s">
        <v>8</v>
      </c>
      <c r="F42" s="27">
        <v>0</v>
      </c>
      <c r="G42" s="28">
        <v>46321</v>
      </c>
      <c r="H42" s="28">
        <v>46321</v>
      </c>
      <c r="I42" s="29">
        <f>NETWORKDAYS(G42,H42)</f>
      </c>
      <c r="J42" s="28"/>
      <c r="K42" s="28"/>
      <c r="L42" s="29">
        <f>IF(OR(J42="",K42=""),"",NETWORKDAYS(J42,K42))</f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5" customHeight="1" spans="1:40" x14ac:dyDescent="0.25">
      <c r="A43" s="25">
        <v>6</v>
      </c>
      <c r="B43" s="26" t="s">
        <v>81</v>
      </c>
      <c r="C43" s="26" t="s">
        <v>82</v>
      </c>
      <c r="D43" s="25" t="s">
        <v>10</v>
      </c>
      <c r="E43" s="25" t="s">
        <v>8</v>
      </c>
      <c r="F43" s="27">
        <v>0</v>
      </c>
      <c r="G43" s="28">
        <v>46321</v>
      </c>
      <c r="H43" s="28">
        <v>46321</v>
      </c>
      <c r="I43" s="29">
        <f>NETWORKDAYS(G43,H43)</f>
      </c>
      <c r="J43" s="28"/>
      <c r="K43" s="28"/>
      <c r="L43" s="29">
        <f>IF(OR(J43="",K43=""),"",NETWORKDAYS(J43,K43))</f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5" customHeight="1" spans="1:40" x14ac:dyDescent="0.25">
      <c r="A44" s="25">
        <v>7</v>
      </c>
      <c r="B44" s="26" t="s">
        <v>83</v>
      </c>
      <c r="C44" s="26" t="s">
        <v>84</v>
      </c>
      <c r="D44" s="25" t="s">
        <v>10</v>
      </c>
      <c r="E44" s="25" t="s">
        <v>8</v>
      </c>
      <c r="F44" s="27">
        <v>0</v>
      </c>
      <c r="G44" s="28">
        <v>46321</v>
      </c>
      <c r="H44" s="28">
        <v>46321</v>
      </c>
      <c r="I44" s="29">
        <f>NETWORKDAYS(G44,H44)</f>
      </c>
      <c r="J44" s="28"/>
      <c r="K44" s="28"/>
      <c r="L44" s="29">
        <f>IF(OR(J44="",K44=""),"",NETWORKDAYS(J44,K44))</f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5" customHeight="1" spans="1:40" x14ac:dyDescent="0.25">
      <c r="A45" s="25">
        <v>8</v>
      </c>
      <c r="B45" s="26" t="s">
        <v>85</v>
      </c>
      <c r="C45" s="26" t="s">
        <v>86</v>
      </c>
      <c r="D45" s="25" t="s">
        <v>11</v>
      </c>
      <c r="E45" s="25" t="s">
        <v>9</v>
      </c>
      <c r="F45" s="27">
        <v>0</v>
      </c>
      <c r="G45" s="28">
        <v>46321</v>
      </c>
      <c r="H45" s="28">
        <v>46321</v>
      </c>
      <c r="I45" s="29">
        <f>NETWORKDAYS(G45,H45)</f>
      </c>
      <c r="J45" s="28"/>
      <c r="K45" s="28"/>
      <c r="L45" s="29">
        <f>IF(OR(J45="",K45=""),"",NETWORKDAYS(J45,K45))</f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5" customHeight="1" spans="1:40" x14ac:dyDescent="0.25">
      <c r="A46" s="25">
        <v>9</v>
      </c>
      <c r="B46" s="26" t="s">
        <v>87</v>
      </c>
      <c r="C46" s="26" t="s">
        <v>88</v>
      </c>
      <c r="D46" s="25" t="s">
        <v>8</v>
      </c>
      <c r="E46" s="25" t="s">
        <v>9</v>
      </c>
      <c r="F46" s="27">
        <v>0</v>
      </c>
      <c r="G46" s="28">
        <v>46322</v>
      </c>
      <c r="H46" s="28">
        <v>46322</v>
      </c>
      <c r="I46" s="29">
        <f>NETWORKDAYS(G46,H46)</f>
      </c>
      <c r="J46" s="28"/>
      <c r="K46" s="28"/>
      <c r="L46" s="29">
        <f>IF(OR(J46="",K46=""),"",NETWORKDAYS(J46,K46))</f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</row>
    <row r="47" ht="15" customHeight="1" spans="1:40" x14ac:dyDescent="0.25">
      <c r="A47" s="25">
        <v>10</v>
      </c>
      <c r="B47" s="26" t="s">
        <v>89</v>
      </c>
      <c r="C47" s="26" t="s">
        <v>90</v>
      </c>
      <c r="D47" s="25" t="s">
        <v>8</v>
      </c>
      <c r="E47" s="25" t="s">
        <v>9</v>
      </c>
      <c r="F47" s="27">
        <v>0</v>
      </c>
      <c r="G47" s="28">
        <v>46322</v>
      </c>
      <c r="H47" s="28">
        <v>46322</v>
      </c>
      <c r="I47" s="29">
        <f>NETWORKDAYS(G47,H47)</f>
      </c>
      <c r="J47" s="28"/>
      <c r="K47" s="28"/>
      <c r="L47" s="29">
        <f>IF(OR(J47="",K47=""),"",NETWORKDAYS(J47,K47))</f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5" customHeight="1" spans="1:40" x14ac:dyDescent="0.25">
      <c r="A48" s="25">
        <v>11</v>
      </c>
      <c r="B48" s="26" t="s">
        <v>91</v>
      </c>
      <c r="C48" s="26" t="s">
        <v>92</v>
      </c>
      <c r="D48" s="25" t="s">
        <v>8</v>
      </c>
      <c r="E48" s="25" t="s">
        <v>9</v>
      </c>
      <c r="F48" s="27">
        <v>0</v>
      </c>
      <c r="G48" s="28">
        <v>46322</v>
      </c>
      <c r="H48" s="28">
        <v>46322</v>
      </c>
      <c r="I48" s="29">
        <f>NETWORKDAYS(G48,H48)</f>
      </c>
      <c r="J48" s="28"/>
      <c r="K48" s="28"/>
      <c r="L48" s="29">
        <f>IF(OR(J48="",K48=""),"",NETWORKDAYS(J48,K48))</f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5" customHeight="1" spans="1:40" x14ac:dyDescent="0.25">
      <c r="A49" s="25">
        <v>12</v>
      </c>
      <c r="B49" s="26" t="s">
        <v>93</v>
      </c>
      <c r="C49" s="26" t="s">
        <v>94</v>
      </c>
      <c r="D49" s="25" t="s">
        <v>10</v>
      </c>
      <c r="E49" s="25" t="s">
        <v>8</v>
      </c>
      <c r="F49" s="27">
        <v>0</v>
      </c>
      <c r="G49" s="28">
        <v>46322</v>
      </c>
      <c r="H49" s="28">
        <v>46322</v>
      </c>
      <c r="I49" s="29">
        <f>NETWORKDAYS(G49,H49)</f>
      </c>
      <c r="J49" s="28"/>
      <c r="K49" s="28"/>
      <c r="L49" s="29">
        <f>IF(OR(J49="",K49=""),"",NETWORKDAYS(J49,K49))</f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5" customHeight="1" spans="1:40" x14ac:dyDescent="0.25">
      <c r="A50" s="25">
        <v>13</v>
      </c>
      <c r="B50" s="26" t="s">
        <v>95</v>
      </c>
      <c r="C50" s="26" t="s">
        <v>96</v>
      </c>
      <c r="D50" s="25" t="s">
        <v>10</v>
      </c>
      <c r="E50" s="25" t="s">
        <v>8</v>
      </c>
      <c r="F50" s="27">
        <v>0</v>
      </c>
      <c r="G50" s="28">
        <v>46322</v>
      </c>
      <c r="H50" s="28">
        <v>46322</v>
      </c>
      <c r="I50" s="29">
        <f>NETWORKDAYS(G50,H50)</f>
      </c>
      <c r="J50" s="28"/>
      <c r="K50" s="28"/>
      <c r="L50" s="29">
        <f>IF(OR(J50="",K50=""),"",NETWORKDAYS(J50,K50))</f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5" customHeight="1" spans="1:40" x14ac:dyDescent="0.25">
      <c r="A51" s="25">
        <v>14</v>
      </c>
      <c r="B51" s="26" t="s">
        <v>97</v>
      </c>
      <c r="C51" s="26" t="s">
        <v>98</v>
      </c>
      <c r="D51" s="25" t="s">
        <v>8</v>
      </c>
      <c r="E51" s="25" t="s">
        <v>9</v>
      </c>
      <c r="F51" s="27">
        <v>0</v>
      </c>
      <c r="G51" s="28">
        <v>46323</v>
      </c>
      <c r="H51" s="28">
        <v>46323</v>
      </c>
      <c r="I51" s="29">
        <f>NETWORKDAYS(G51,H51)</f>
      </c>
      <c r="J51" s="28"/>
      <c r="K51" s="28"/>
      <c r="L51" s="29">
        <f>IF(OR(J51="",K51=""),"",NETWORKDAYS(J51,K51))</f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ht="15" customHeight="1" spans="1:40" x14ac:dyDescent="0.25">
      <c r="A52" s="25">
        <v>15</v>
      </c>
      <c r="B52" s="26" t="s">
        <v>99</v>
      </c>
      <c r="C52" s="26" t="s">
        <v>100</v>
      </c>
      <c r="D52" s="25" t="s">
        <v>8</v>
      </c>
      <c r="E52" s="25" t="s">
        <v>9</v>
      </c>
      <c r="F52" s="27">
        <v>0</v>
      </c>
      <c r="G52" s="28">
        <v>46323</v>
      </c>
      <c r="H52" s="28">
        <v>46323</v>
      </c>
      <c r="I52" s="29">
        <f>NETWORKDAYS(G52,H52)</f>
      </c>
      <c r="J52" s="28"/>
      <c r="K52" s="28"/>
      <c r="L52" s="29">
        <f>IF(OR(J52="",K52=""),"",NETWORKDAYS(J52,K52))</f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ht="15" customHeight="1" spans="1:40" x14ac:dyDescent="0.25">
      <c r="A53" s="25">
        <v>16</v>
      </c>
      <c r="B53" s="26" t="s">
        <v>101</v>
      </c>
      <c r="C53" s="26" t="s">
        <v>102</v>
      </c>
      <c r="D53" s="25" t="s">
        <v>8</v>
      </c>
      <c r="E53" s="25" t="s">
        <v>9</v>
      </c>
      <c r="F53" s="27">
        <v>0</v>
      </c>
      <c r="G53" s="28">
        <v>46323</v>
      </c>
      <c r="H53" s="28">
        <v>46323</v>
      </c>
      <c r="I53" s="29">
        <f>NETWORKDAYS(G53,H53)</f>
      </c>
      <c r="J53" s="28"/>
      <c r="K53" s="28"/>
      <c r="L53" s="29">
        <f>IF(OR(J53="",K53=""),"",NETWORKDAYS(J53,K53))</f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5" customHeight="1" spans="1:40" x14ac:dyDescent="0.25">
      <c r="A54" s="25">
        <v>17</v>
      </c>
      <c r="B54" s="26" t="s">
        <v>103</v>
      </c>
      <c r="C54" s="26" t="s">
        <v>104</v>
      </c>
      <c r="D54" s="25" t="s">
        <v>11</v>
      </c>
      <c r="E54" s="25" t="s">
        <v>9</v>
      </c>
      <c r="F54" s="27">
        <v>0</v>
      </c>
      <c r="G54" s="28">
        <v>46324</v>
      </c>
      <c r="H54" s="28">
        <v>46324</v>
      </c>
      <c r="I54" s="29">
        <f>NETWORKDAYS(G54,H54)</f>
      </c>
      <c r="J54" s="28"/>
      <c r="K54" s="28"/>
      <c r="L54" s="29">
        <f>IF(OR(J54="",K54=""),"",NETWORKDAYS(J54,K54))</f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5" customHeight="1" spans="1:40" x14ac:dyDescent="0.25">
      <c r="A55" s="25">
        <v>18</v>
      </c>
      <c r="B55" s="26" t="s">
        <v>105</v>
      </c>
      <c r="C55" s="26" t="s">
        <v>106</v>
      </c>
      <c r="D55" s="25" t="s">
        <v>8</v>
      </c>
      <c r="E55" s="25" t="s">
        <v>9</v>
      </c>
      <c r="F55" s="27">
        <v>0</v>
      </c>
      <c r="G55" s="28">
        <v>46325</v>
      </c>
      <c r="H55" s="28">
        <v>46325</v>
      </c>
      <c r="I55" s="29">
        <f>NETWORKDAYS(G55,H55)</f>
      </c>
      <c r="J55" s="28"/>
      <c r="K55" s="28"/>
      <c r="L55" s="29">
        <f>IF(OR(J55="",K55=""),"",NETWORKDAYS(J55,K55))</f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  <row r="56" ht="15" customHeight="1" spans="1:40" x14ac:dyDescent="0.25">
      <c r="A56" s="25">
        <v>19</v>
      </c>
      <c r="B56" s="26" t="s">
        <v>107</v>
      </c>
      <c r="C56" s="26" t="s">
        <v>108</v>
      </c>
      <c r="D56" s="25" t="s">
        <v>8</v>
      </c>
      <c r="E56" s="25" t="s">
        <v>9</v>
      </c>
      <c r="F56" s="27">
        <v>0</v>
      </c>
      <c r="G56" s="28">
        <v>46330</v>
      </c>
      <c r="H56" s="28">
        <v>46330</v>
      </c>
      <c r="I56" s="29">
        <f>NETWORKDAYS(G56,H56)</f>
      </c>
      <c r="J56" s="28"/>
      <c r="K56" s="28"/>
      <c r="L56" s="29">
        <f>IF(OR(J56="",K56=""),"",NETWORKDAYS(J56,K56))</f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5" customHeight="1" spans="1:40" x14ac:dyDescent="0.25">
      <c r="A57" s="25">
        <v>20</v>
      </c>
      <c r="B57" s="26" t="s">
        <v>109</v>
      </c>
      <c r="C57" s="26" t="s">
        <v>110</v>
      </c>
      <c r="D57" s="25" t="s">
        <v>8</v>
      </c>
      <c r="E57" s="25" t="s">
        <v>9</v>
      </c>
      <c r="F57" s="27">
        <v>0</v>
      </c>
      <c r="G57" s="28">
        <v>46332</v>
      </c>
      <c r="H57" s="28">
        <v>46332</v>
      </c>
      <c r="I57" s="29">
        <f>NETWORKDAYS(G57,H57)</f>
      </c>
      <c r="J57" s="28"/>
      <c r="K57" s="28"/>
      <c r="L57" s="29">
        <f>IF(OR(J57="",K57=""),"",NETWORKDAYS(J57,K57))</f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5" customHeight="1" spans="1:40" x14ac:dyDescent="0.25">
      <c r="A58" s="25">
        <v>21</v>
      </c>
      <c r="B58" s="26" t="s">
        <v>111</v>
      </c>
      <c r="C58" s="26" t="s">
        <v>112</v>
      </c>
      <c r="D58" s="25" t="s">
        <v>9</v>
      </c>
      <c r="E58" s="25" t="s">
        <v>11</v>
      </c>
      <c r="F58" s="27">
        <v>0</v>
      </c>
      <c r="G58" s="28">
        <v>46338</v>
      </c>
      <c r="H58" s="28">
        <v>46338</v>
      </c>
      <c r="I58" s="29">
        <f>NETWORKDAYS(G58,H58)</f>
      </c>
      <c r="J58" s="28"/>
      <c r="K58" s="28"/>
      <c r="L58" s="29">
        <f>IF(OR(J58="",K58=""),"",NETWORKDAYS(J58,K58))</f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5" customHeight="1" spans="1:40" x14ac:dyDescent="0.25">
      <c r="A59" s="25">
        <v>22</v>
      </c>
      <c r="B59" s="26" t="s">
        <v>113</v>
      </c>
      <c r="C59" s="26" t="s">
        <v>114</v>
      </c>
      <c r="D59" s="25" t="s">
        <v>8</v>
      </c>
      <c r="E59" s="25" t="s">
        <v>9</v>
      </c>
      <c r="F59" s="27">
        <v>0</v>
      </c>
      <c r="G59" s="28">
        <v>46339</v>
      </c>
      <c r="H59" s="28">
        <v>46339</v>
      </c>
      <c r="I59" s="29">
        <f>NETWORKDAYS(G59,H59)</f>
      </c>
      <c r="J59" s="28"/>
      <c r="K59" s="28"/>
      <c r="L59" s="29">
        <f>IF(OR(J59="",K59=""),"",NETWORKDAYS(J59,K59))</f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spans="1:40" x14ac:dyDescent="0.25">
      <c r="A60" s="19" t="s">
        <v>115</v>
      </c>
      <c r="B60" s="20" t="s">
        <v>116</v>
      </c>
      <c r="C60" s="21" t="s">
        <v>28</v>
      </c>
      <c r="D60" s="21" t="s">
        <v>28</v>
      </c>
      <c r="E60" s="21" t="s">
        <v>28</v>
      </c>
      <c r="F60" s="22">
        <f>AVERAGE(F61:F161)</f>
      </c>
      <c r="G60" s="23">
        <f>MIN(G61:G161)</f>
      </c>
      <c r="H60" s="23">
        <f>MAX(H61:H161)</f>
      </c>
      <c r="I60" s="19">
        <f>NETWORKDAYS(G60,H60)</f>
      </c>
      <c r="J60" s="23">
        <f>IF(COUNT(J61:J161)=0,"",MIN(J61:J161))</f>
      </c>
      <c r="K60" s="23">
        <f>IF(COUNT(K61:K161)=0,"",MAX(K61:K161))</f>
      </c>
      <c r="L60" s="19">
        <f>IF(OR(J60="",K60=""),"",NETWORKDAYS(J60,K60))</f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x14ac:dyDescent="0.25">
      <c r="A61" s="31">
        <v>1</v>
      </c>
      <c r="B61" s="32" t="s">
        <v>117</v>
      </c>
      <c r="C61" s="33" t="s">
        <v>28</v>
      </c>
      <c r="D61" s="33" t="s">
        <v>28</v>
      </c>
      <c r="E61" s="33" t="s">
        <v>28</v>
      </c>
      <c r="F61" s="34">
        <f>AVERAGE(F62:F72)</f>
      </c>
      <c r="G61" s="35">
        <f>MIN(G62:G72)</f>
      </c>
      <c r="H61" s="35">
        <f>MAX(H62:H72)</f>
      </c>
      <c r="I61" s="31">
        <f>NETWORKDAYS(G61,H61)</f>
      </c>
      <c r="J61" s="35">
        <f>IF(COUNT(J62:J72)=0,"",MIN(J62:J72))</f>
      </c>
      <c r="K61" s="35">
        <f>IF(COUNT(K62:K72)=0,"",MAX(K62:K72))</f>
      </c>
      <c r="L61" s="31">
        <f>IF(OR(J61="",K61=""),"",NETWORKDAYS(J61,K61))</f>
      </c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" customHeight="1" spans="1:40" x14ac:dyDescent="0.25">
      <c r="A62" s="25">
        <v>1</v>
      </c>
      <c r="B62" s="26" t="s">
        <v>118</v>
      </c>
      <c r="C62" s="26" t="s">
        <v>119</v>
      </c>
      <c r="D62" s="25" t="s">
        <v>9</v>
      </c>
      <c r="E62" s="25" t="s">
        <v>11</v>
      </c>
      <c r="F62" s="27">
        <v>0</v>
      </c>
      <c r="G62" s="28">
        <v>46321</v>
      </c>
      <c r="H62" s="28">
        <v>46321</v>
      </c>
      <c r="I62" s="29">
        <f>NETWORKDAYS(G62,H62)</f>
      </c>
      <c r="J62" s="28"/>
      <c r="K62" s="28"/>
      <c r="L62" s="29">
        <f>IF(OR(J62="",K62=""),"",NETWORKDAYS(J62,K62))</f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5" customHeight="1" spans="1:40" x14ac:dyDescent="0.25">
      <c r="A63" s="25">
        <v>2</v>
      </c>
      <c r="B63" s="26" t="s">
        <v>120</v>
      </c>
      <c r="C63" s="26" t="s">
        <v>121</v>
      </c>
      <c r="D63" s="25" t="s">
        <v>11</v>
      </c>
      <c r="E63" s="25" t="s">
        <v>9</v>
      </c>
      <c r="F63" s="27">
        <v>0</v>
      </c>
      <c r="G63" s="28">
        <v>46321</v>
      </c>
      <c r="H63" s="28">
        <v>46321</v>
      </c>
      <c r="I63" s="29">
        <f>NETWORKDAYS(G63,H63)</f>
      </c>
      <c r="J63" s="28"/>
      <c r="K63" s="28"/>
      <c r="L63" s="29">
        <f>IF(OR(J63="",K63=""),"",NETWORKDAYS(J63,K63))</f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5" customHeight="1" spans="1:40" x14ac:dyDescent="0.25">
      <c r="A64" s="25">
        <v>3</v>
      </c>
      <c r="B64" s="26" t="s">
        <v>122</v>
      </c>
      <c r="C64" s="26" t="s">
        <v>123</v>
      </c>
      <c r="D64" s="25" t="s">
        <v>11</v>
      </c>
      <c r="E64" s="25" t="s">
        <v>9</v>
      </c>
      <c r="F64" s="27">
        <v>0</v>
      </c>
      <c r="G64" s="28">
        <v>46321</v>
      </c>
      <c r="H64" s="28">
        <v>46321</v>
      </c>
      <c r="I64" s="29">
        <f>NETWORKDAYS(G64,H64)</f>
      </c>
      <c r="J64" s="28"/>
      <c r="K64" s="28"/>
      <c r="L64" s="29">
        <f>IF(OR(J64="",K64=""),"",NETWORKDAYS(J64,K64))</f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5" customHeight="1" spans="1:40" x14ac:dyDescent="0.25">
      <c r="A65" s="25">
        <v>4</v>
      </c>
      <c r="B65" s="26" t="s">
        <v>124</v>
      </c>
      <c r="C65" s="26" t="s">
        <v>125</v>
      </c>
      <c r="D65" s="25" t="s">
        <v>10</v>
      </c>
      <c r="E65" s="25" t="s">
        <v>8</v>
      </c>
      <c r="F65" s="27">
        <v>0</v>
      </c>
      <c r="G65" s="28">
        <v>46322</v>
      </c>
      <c r="H65" s="28">
        <v>46322</v>
      </c>
      <c r="I65" s="29">
        <f>NETWORKDAYS(G65,H65)</f>
      </c>
      <c r="J65" s="28"/>
      <c r="K65" s="28"/>
      <c r="L65" s="29">
        <f>IF(OR(J65="",K65=""),"",NETWORKDAYS(J65,K65))</f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5" customHeight="1" spans="1:40" x14ac:dyDescent="0.25">
      <c r="A66" s="25">
        <v>5</v>
      </c>
      <c r="B66" s="26" t="s">
        <v>126</v>
      </c>
      <c r="C66" s="26" t="s">
        <v>127</v>
      </c>
      <c r="D66" s="25" t="s">
        <v>10</v>
      </c>
      <c r="E66" s="25" t="s">
        <v>8</v>
      </c>
      <c r="F66" s="27">
        <v>0</v>
      </c>
      <c r="G66" s="28">
        <v>46322</v>
      </c>
      <c r="H66" s="28">
        <v>46322</v>
      </c>
      <c r="I66" s="29">
        <f>NETWORKDAYS(G66,H66)</f>
      </c>
      <c r="J66" s="28"/>
      <c r="K66" s="28"/>
      <c r="L66" s="29">
        <f>IF(OR(J66="",K66=""),"",NETWORKDAYS(J66,K66))</f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5" customHeight="1" spans="1:40" x14ac:dyDescent="0.25">
      <c r="A67" s="25">
        <v>6</v>
      </c>
      <c r="B67" s="26" t="s">
        <v>128</v>
      </c>
      <c r="C67" s="26" t="s">
        <v>129</v>
      </c>
      <c r="D67" s="25" t="s">
        <v>11</v>
      </c>
      <c r="E67" s="25" t="s">
        <v>9</v>
      </c>
      <c r="F67" s="27">
        <v>0</v>
      </c>
      <c r="G67" s="28">
        <v>46322</v>
      </c>
      <c r="H67" s="28">
        <v>46322</v>
      </c>
      <c r="I67" s="29">
        <f>NETWORKDAYS(G67,H67)</f>
      </c>
      <c r="J67" s="28"/>
      <c r="K67" s="28"/>
      <c r="L67" s="29">
        <f>IF(OR(J67="",K67=""),"",NETWORKDAYS(J67,K67))</f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5" customHeight="1" spans="1:40" x14ac:dyDescent="0.25">
      <c r="A68" s="25">
        <v>7</v>
      </c>
      <c r="B68" s="26" t="s">
        <v>130</v>
      </c>
      <c r="C68" s="26" t="s">
        <v>131</v>
      </c>
      <c r="D68" s="25" t="s">
        <v>11</v>
      </c>
      <c r="E68" s="25" t="s">
        <v>9</v>
      </c>
      <c r="F68" s="27">
        <v>0</v>
      </c>
      <c r="G68" s="28">
        <v>46322</v>
      </c>
      <c r="H68" s="28">
        <v>46322</v>
      </c>
      <c r="I68" s="29">
        <f>NETWORKDAYS(G68,H68)</f>
      </c>
      <c r="J68" s="28"/>
      <c r="K68" s="28"/>
      <c r="L68" s="29">
        <f>IF(OR(J68="",K68=""),"",NETWORKDAYS(J68,K68))</f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5" customHeight="1" spans="1:40" x14ac:dyDescent="0.25">
      <c r="A69" s="25">
        <v>8</v>
      </c>
      <c r="B69" s="26" t="s">
        <v>132</v>
      </c>
      <c r="C69" s="26" t="s">
        <v>133</v>
      </c>
      <c r="D69" s="25" t="s">
        <v>11</v>
      </c>
      <c r="E69" s="25" t="s">
        <v>9</v>
      </c>
      <c r="F69" s="27">
        <v>0</v>
      </c>
      <c r="G69" s="28">
        <v>46323</v>
      </c>
      <c r="H69" s="28">
        <v>46323</v>
      </c>
      <c r="I69" s="29">
        <f>NETWORKDAYS(G69,H69)</f>
      </c>
      <c r="J69" s="28"/>
      <c r="K69" s="28"/>
      <c r="L69" s="29">
        <f>IF(OR(J69="",K69=""),"",NETWORKDAYS(J69,K69))</f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5" customHeight="1" spans="1:40" x14ac:dyDescent="0.25">
      <c r="A70" s="25">
        <v>9</v>
      </c>
      <c r="B70" s="26" t="s">
        <v>134</v>
      </c>
      <c r="C70" s="26" t="s">
        <v>135</v>
      </c>
      <c r="D70" s="25" t="s">
        <v>11</v>
      </c>
      <c r="E70" s="25" t="s">
        <v>9</v>
      </c>
      <c r="F70" s="27">
        <v>0</v>
      </c>
      <c r="G70" s="28">
        <v>46323</v>
      </c>
      <c r="H70" s="28">
        <v>46323</v>
      </c>
      <c r="I70" s="29">
        <f>NETWORKDAYS(G70,H70)</f>
      </c>
      <c r="J70" s="28"/>
      <c r="K70" s="28"/>
      <c r="L70" s="29">
        <f>IF(OR(J70="",K70=""),"",NETWORKDAYS(J70,K70))</f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5" customHeight="1" spans="1:40" x14ac:dyDescent="0.25">
      <c r="A71" s="25">
        <v>10</v>
      </c>
      <c r="B71" s="26" t="s">
        <v>136</v>
      </c>
      <c r="C71" s="26" t="s">
        <v>137</v>
      </c>
      <c r="D71" s="25" t="s">
        <v>11</v>
      </c>
      <c r="E71" s="25" t="s">
        <v>9</v>
      </c>
      <c r="F71" s="27">
        <v>0</v>
      </c>
      <c r="G71" s="28">
        <v>46325</v>
      </c>
      <c r="H71" s="28">
        <v>46325</v>
      </c>
      <c r="I71" s="29">
        <f>NETWORKDAYS(G71,H71)</f>
      </c>
      <c r="J71" s="28"/>
      <c r="K71" s="28"/>
      <c r="L71" s="29">
        <f>IF(OR(J71="",K71=""),"",NETWORKDAYS(J71,K71))</f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5" customHeight="1" spans="1:40" x14ac:dyDescent="0.25">
      <c r="A72" s="25">
        <v>11</v>
      </c>
      <c r="B72" s="26" t="s">
        <v>138</v>
      </c>
      <c r="C72" s="26" t="s">
        <v>139</v>
      </c>
      <c r="D72" s="25" t="s">
        <v>11</v>
      </c>
      <c r="E72" s="25" t="s">
        <v>9</v>
      </c>
      <c r="F72" s="27">
        <v>0</v>
      </c>
      <c r="G72" s="28">
        <v>46325</v>
      </c>
      <c r="H72" s="28">
        <v>46325</v>
      </c>
      <c r="I72" s="29">
        <f>NETWORKDAYS(G72,H72)</f>
      </c>
      <c r="J72" s="28"/>
      <c r="K72" s="28"/>
      <c r="L72" s="29">
        <f>IF(OR(J72="",K72=""),"",NETWORKDAYS(J72,K72))</f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spans="1:40" x14ac:dyDescent="0.25">
      <c r="A73" s="31">
        <v>2</v>
      </c>
      <c r="B73" s="32" t="s">
        <v>140</v>
      </c>
      <c r="C73" s="33" t="s">
        <v>28</v>
      </c>
      <c r="D73" s="33" t="s">
        <v>28</v>
      </c>
      <c r="E73" s="33" t="s">
        <v>28</v>
      </c>
      <c r="F73" s="34">
        <f>AVERAGE(F74:F89)</f>
      </c>
      <c r="G73" s="35">
        <f>MIN(G74:G89)</f>
      </c>
      <c r="H73" s="35">
        <f>MAX(H74:H89)</f>
      </c>
      <c r="I73" s="31">
        <f>NETWORKDAYS(G73,H73)</f>
      </c>
      <c r="J73" s="35">
        <f>IF(COUNT(J74:J89)=0,"",MIN(J74:J89))</f>
      </c>
      <c r="K73" s="35">
        <f>IF(COUNT(K74:K89)=0,"",MAX(K74:K89))</f>
      </c>
      <c r="L73" s="31">
        <f>IF(OR(J73="",K73=""),"",NETWORKDAYS(J73,K73))</f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" customHeight="1" spans="1:40" x14ac:dyDescent="0.25">
      <c r="A74" s="25">
        <v>1</v>
      </c>
      <c r="B74" s="26" t="s">
        <v>141</v>
      </c>
      <c r="C74" s="26" t="s">
        <v>142</v>
      </c>
      <c r="D74" s="25" t="s">
        <v>9</v>
      </c>
      <c r="E74" s="25" t="s">
        <v>11</v>
      </c>
      <c r="F74" s="27">
        <v>0</v>
      </c>
      <c r="G74" s="28">
        <v>46322</v>
      </c>
      <c r="H74" s="28">
        <v>46322</v>
      </c>
      <c r="I74" s="29">
        <f>NETWORKDAYS(G74,H74)</f>
      </c>
      <c r="J74" s="28"/>
      <c r="K74" s="28"/>
      <c r="L74" s="29">
        <f>IF(OR(J74="",K74=""),"",NETWORKDAYS(J74,K74))</f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5" customHeight="1" spans="1:40" x14ac:dyDescent="0.25">
      <c r="A75" s="25">
        <v>2</v>
      </c>
      <c r="B75" s="26" t="s">
        <v>143</v>
      </c>
      <c r="C75" s="26" t="s">
        <v>144</v>
      </c>
      <c r="D75" s="25" t="s">
        <v>9</v>
      </c>
      <c r="E75" s="25" t="s">
        <v>11</v>
      </c>
      <c r="F75" s="27">
        <v>0</v>
      </c>
      <c r="G75" s="28">
        <v>46322</v>
      </c>
      <c r="H75" s="28">
        <v>46322</v>
      </c>
      <c r="I75" s="29">
        <f>NETWORKDAYS(G75,H75)</f>
      </c>
      <c r="J75" s="28"/>
      <c r="K75" s="28"/>
      <c r="L75" s="29">
        <f>IF(OR(J75="",K75=""),"",NETWORKDAYS(J75,K75))</f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5" customHeight="1" spans="1:40" x14ac:dyDescent="0.25">
      <c r="A76" s="25">
        <v>3</v>
      </c>
      <c r="B76" s="26" t="s">
        <v>145</v>
      </c>
      <c r="C76" s="26" t="s">
        <v>146</v>
      </c>
      <c r="D76" s="25" t="s">
        <v>9</v>
      </c>
      <c r="E76" s="25" t="s">
        <v>11</v>
      </c>
      <c r="F76" s="27">
        <v>0</v>
      </c>
      <c r="G76" s="28">
        <v>46322</v>
      </c>
      <c r="H76" s="28">
        <v>46322</v>
      </c>
      <c r="I76" s="29">
        <f>NETWORKDAYS(G76,H76)</f>
      </c>
      <c r="J76" s="28"/>
      <c r="K76" s="28"/>
      <c r="L76" s="29">
        <f>IF(OR(J76="",K76=""),"",NETWORKDAYS(J76,K76))</f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5" customHeight="1" spans="1:40" x14ac:dyDescent="0.25">
      <c r="A77" s="25">
        <v>4</v>
      </c>
      <c r="B77" s="26" t="s">
        <v>147</v>
      </c>
      <c r="C77" s="26" t="s">
        <v>148</v>
      </c>
      <c r="D77" s="25" t="s">
        <v>9</v>
      </c>
      <c r="E77" s="25" t="s">
        <v>11</v>
      </c>
      <c r="F77" s="27">
        <v>0</v>
      </c>
      <c r="G77" s="28">
        <v>46323</v>
      </c>
      <c r="H77" s="28">
        <v>46323</v>
      </c>
      <c r="I77" s="29">
        <f>NETWORKDAYS(G77,H77)</f>
      </c>
      <c r="J77" s="28"/>
      <c r="K77" s="28"/>
      <c r="L77" s="29">
        <f>IF(OR(J77="",K77=""),"",NETWORKDAYS(J77,K77))</f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5" customHeight="1" spans="1:40" x14ac:dyDescent="0.25">
      <c r="A78" s="25">
        <v>5</v>
      </c>
      <c r="B78" s="26" t="s">
        <v>149</v>
      </c>
      <c r="C78" s="26" t="s">
        <v>150</v>
      </c>
      <c r="D78" s="25" t="s">
        <v>10</v>
      </c>
      <c r="E78" s="25" t="s">
        <v>8</v>
      </c>
      <c r="F78" s="27">
        <v>0</v>
      </c>
      <c r="G78" s="28">
        <v>46323</v>
      </c>
      <c r="H78" s="28">
        <v>46323</v>
      </c>
      <c r="I78" s="29">
        <f>NETWORKDAYS(G78,H78)</f>
      </c>
      <c r="J78" s="28"/>
      <c r="K78" s="28"/>
      <c r="L78" s="29">
        <f>IF(OR(J78="",K78=""),"",NETWORKDAYS(J78,K78))</f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5" customHeight="1" spans="1:40" x14ac:dyDescent="0.25">
      <c r="A79" s="25">
        <v>6</v>
      </c>
      <c r="B79" s="26" t="s">
        <v>151</v>
      </c>
      <c r="C79" s="26" t="s">
        <v>152</v>
      </c>
      <c r="D79" s="25" t="s">
        <v>10</v>
      </c>
      <c r="E79" s="25" t="s">
        <v>8</v>
      </c>
      <c r="F79" s="27">
        <v>0</v>
      </c>
      <c r="G79" s="28">
        <v>46323</v>
      </c>
      <c r="H79" s="28">
        <v>46323</v>
      </c>
      <c r="I79" s="29">
        <f>NETWORKDAYS(G79,H79)</f>
      </c>
      <c r="J79" s="28"/>
      <c r="K79" s="28"/>
      <c r="L79" s="29">
        <f>IF(OR(J79="",K79=""),"",NETWORKDAYS(J79,K79))</f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5" customHeight="1" spans="1:40" x14ac:dyDescent="0.25">
      <c r="A80" s="25">
        <v>7</v>
      </c>
      <c r="B80" s="26" t="s">
        <v>153</v>
      </c>
      <c r="C80" s="26" t="s">
        <v>154</v>
      </c>
      <c r="D80" s="25" t="s">
        <v>10</v>
      </c>
      <c r="E80" s="25" t="s">
        <v>8</v>
      </c>
      <c r="F80" s="27">
        <v>0</v>
      </c>
      <c r="G80" s="28">
        <v>46323</v>
      </c>
      <c r="H80" s="28">
        <v>46323</v>
      </c>
      <c r="I80" s="29">
        <f>NETWORKDAYS(G80,H80)</f>
      </c>
      <c r="J80" s="28"/>
      <c r="K80" s="28"/>
      <c r="L80" s="29">
        <f>IF(OR(J80="",K80=""),"",NETWORKDAYS(J80,K80))</f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5" customHeight="1" spans="1:40" x14ac:dyDescent="0.25">
      <c r="A81" s="25">
        <v>8</v>
      </c>
      <c r="B81" s="26" t="s">
        <v>155</v>
      </c>
      <c r="C81" s="26" t="s">
        <v>156</v>
      </c>
      <c r="D81" s="25" t="s">
        <v>11</v>
      </c>
      <c r="E81" s="25" t="s">
        <v>9</v>
      </c>
      <c r="F81" s="27">
        <v>0</v>
      </c>
      <c r="G81" s="28">
        <v>46323</v>
      </c>
      <c r="H81" s="28">
        <v>46323</v>
      </c>
      <c r="I81" s="29">
        <f>NETWORKDAYS(G81,H81)</f>
      </c>
      <c r="J81" s="28"/>
      <c r="K81" s="28"/>
      <c r="L81" s="29">
        <f>IF(OR(J81="",K81=""),"",NETWORKDAYS(J81,K81))</f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5" customHeight="1" spans="1:40" x14ac:dyDescent="0.25">
      <c r="A82" s="25">
        <v>9</v>
      </c>
      <c r="B82" s="26" t="s">
        <v>157</v>
      </c>
      <c r="C82" s="26" t="s">
        <v>158</v>
      </c>
      <c r="D82" s="25" t="s">
        <v>10</v>
      </c>
      <c r="E82" s="25" t="s">
        <v>8</v>
      </c>
      <c r="F82" s="27">
        <v>0</v>
      </c>
      <c r="G82" s="28">
        <v>46324</v>
      </c>
      <c r="H82" s="28">
        <v>46324</v>
      </c>
      <c r="I82" s="29">
        <f>NETWORKDAYS(G82,H82)</f>
      </c>
      <c r="J82" s="28"/>
      <c r="K82" s="28"/>
      <c r="L82" s="29">
        <f>IF(OR(J82="",K82=""),"",NETWORKDAYS(J82,K82))</f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5" customHeight="1" spans="1:40" x14ac:dyDescent="0.25">
      <c r="A83" s="25">
        <v>10</v>
      </c>
      <c r="B83" s="26" t="s">
        <v>159</v>
      </c>
      <c r="C83" s="26" t="s">
        <v>160</v>
      </c>
      <c r="D83" s="25" t="s">
        <v>10</v>
      </c>
      <c r="E83" s="25" t="s">
        <v>8</v>
      </c>
      <c r="F83" s="27">
        <v>0</v>
      </c>
      <c r="G83" s="28">
        <v>46324</v>
      </c>
      <c r="H83" s="28">
        <v>46324</v>
      </c>
      <c r="I83" s="29">
        <f>NETWORKDAYS(G83,H83)</f>
      </c>
      <c r="J83" s="28"/>
      <c r="K83" s="28"/>
      <c r="L83" s="29">
        <f>IF(OR(J83="",K83=""),"",NETWORKDAYS(J83,K83))</f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5" customHeight="1" spans="1:40" x14ac:dyDescent="0.25">
      <c r="A84" s="25">
        <v>11</v>
      </c>
      <c r="B84" s="26" t="s">
        <v>161</v>
      </c>
      <c r="C84" s="26" t="s">
        <v>162</v>
      </c>
      <c r="D84" s="25" t="s">
        <v>11</v>
      </c>
      <c r="E84" s="25" t="s">
        <v>9</v>
      </c>
      <c r="F84" s="27">
        <v>0</v>
      </c>
      <c r="G84" s="28">
        <v>46324</v>
      </c>
      <c r="H84" s="28">
        <v>46324</v>
      </c>
      <c r="I84" s="29">
        <f>NETWORKDAYS(G84,H84)</f>
      </c>
      <c r="J84" s="28"/>
      <c r="K84" s="28"/>
      <c r="L84" s="29">
        <f>IF(OR(J84="",K84=""),"",NETWORKDAYS(J84,K84))</f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5" customHeight="1" spans="1:40" x14ac:dyDescent="0.25">
      <c r="A85" s="25">
        <v>12</v>
      </c>
      <c r="B85" s="26" t="s">
        <v>163</v>
      </c>
      <c r="C85" s="26" t="s">
        <v>164</v>
      </c>
      <c r="D85" s="25" t="s">
        <v>11</v>
      </c>
      <c r="E85" s="25" t="s">
        <v>9</v>
      </c>
      <c r="F85" s="27">
        <v>0</v>
      </c>
      <c r="G85" s="28">
        <v>46324</v>
      </c>
      <c r="H85" s="28">
        <v>46324</v>
      </c>
      <c r="I85" s="29">
        <f>NETWORKDAYS(G85,H85)</f>
      </c>
      <c r="J85" s="28"/>
      <c r="K85" s="28"/>
      <c r="L85" s="29">
        <f>IF(OR(J85="",K85=""),"",NETWORKDAYS(J85,K85))</f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5" customHeight="1" spans="1:40" x14ac:dyDescent="0.25">
      <c r="A86" s="25">
        <v>13</v>
      </c>
      <c r="B86" s="26" t="s">
        <v>165</v>
      </c>
      <c r="C86" s="26" t="s">
        <v>166</v>
      </c>
      <c r="D86" s="25" t="s">
        <v>9</v>
      </c>
      <c r="E86" s="25" t="s">
        <v>11</v>
      </c>
      <c r="F86" s="27">
        <v>0</v>
      </c>
      <c r="G86" s="28">
        <v>46325</v>
      </c>
      <c r="H86" s="28">
        <v>46325</v>
      </c>
      <c r="I86" s="29">
        <f>NETWORKDAYS(G86,H86)</f>
      </c>
      <c r="J86" s="28"/>
      <c r="K86" s="28"/>
      <c r="L86" s="29">
        <f>IF(OR(J86="",K86=""),"",NETWORKDAYS(J86,K86))</f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5" customHeight="1" spans="1:40" x14ac:dyDescent="0.25">
      <c r="A87" s="25">
        <v>14</v>
      </c>
      <c r="B87" s="26" t="s">
        <v>167</v>
      </c>
      <c r="C87" s="26" t="s">
        <v>168</v>
      </c>
      <c r="D87" s="25" t="s">
        <v>10</v>
      </c>
      <c r="E87" s="25" t="s">
        <v>8</v>
      </c>
      <c r="F87" s="27">
        <v>0</v>
      </c>
      <c r="G87" s="28">
        <v>46331</v>
      </c>
      <c r="H87" s="28">
        <v>46331</v>
      </c>
      <c r="I87" s="29">
        <f>NETWORKDAYS(G87,H87)</f>
      </c>
      <c r="J87" s="28"/>
      <c r="K87" s="28"/>
      <c r="L87" s="29">
        <f>IF(OR(J87="",K87=""),"",NETWORKDAYS(J87,K87))</f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5" customHeight="1" spans="1:40" x14ac:dyDescent="0.25">
      <c r="A88" s="25">
        <v>15</v>
      </c>
      <c r="B88" s="26" t="s">
        <v>169</v>
      </c>
      <c r="C88" s="26" t="s">
        <v>170</v>
      </c>
      <c r="D88" s="25" t="s">
        <v>10</v>
      </c>
      <c r="E88" s="25" t="s">
        <v>8</v>
      </c>
      <c r="F88" s="27">
        <v>0</v>
      </c>
      <c r="G88" s="28">
        <v>46331</v>
      </c>
      <c r="H88" s="28">
        <v>46331</v>
      </c>
      <c r="I88" s="29">
        <f>NETWORKDAYS(G88,H88)</f>
      </c>
      <c r="J88" s="28"/>
      <c r="K88" s="28"/>
      <c r="L88" s="29">
        <f>IF(OR(J88="",K88=""),"",NETWORKDAYS(J88,K88))</f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5" customHeight="1" spans="1:40" x14ac:dyDescent="0.25">
      <c r="A89" s="25">
        <v>16</v>
      </c>
      <c r="B89" s="26" t="s">
        <v>171</v>
      </c>
      <c r="C89" s="26" t="s">
        <v>172</v>
      </c>
      <c r="D89" s="25" t="s">
        <v>9</v>
      </c>
      <c r="E89" s="25" t="s">
        <v>11</v>
      </c>
      <c r="F89" s="27">
        <v>0</v>
      </c>
      <c r="G89" s="28">
        <v>46332</v>
      </c>
      <c r="H89" s="28">
        <v>46332</v>
      </c>
      <c r="I89" s="29">
        <f>NETWORKDAYS(G89,H89)</f>
      </c>
      <c r="J89" s="28"/>
      <c r="K89" s="28"/>
      <c r="L89" s="29">
        <f>IF(OR(J89="",K89=""),"",NETWORKDAYS(J89,K89))</f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spans="1:40" x14ac:dyDescent="0.25">
      <c r="A90" s="31">
        <v>3</v>
      </c>
      <c r="B90" s="32" t="s">
        <v>173</v>
      </c>
      <c r="C90" s="33" t="s">
        <v>28</v>
      </c>
      <c r="D90" s="33" t="s">
        <v>28</v>
      </c>
      <c r="E90" s="33" t="s">
        <v>28</v>
      </c>
      <c r="F90" s="34">
        <f>AVERAGE(F91:F111)</f>
      </c>
      <c r="G90" s="35">
        <f>MIN(G91:G111)</f>
      </c>
      <c r="H90" s="35">
        <f>MAX(H91:H111)</f>
      </c>
      <c r="I90" s="31">
        <f>NETWORKDAYS(G90,H90)</f>
      </c>
      <c r="J90" s="35">
        <f>IF(COUNT(J91:J111)=0,"",MIN(J91:J111))</f>
      </c>
      <c r="K90" s="35">
        <f>IF(COUNT(K91:K111)=0,"",MAX(K91:K111))</f>
      </c>
      <c r="L90" s="31">
        <f>IF(OR(J90="",K90=""),"",NETWORKDAYS(J90,K90))</f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" customHeight="1" spans="1:40" x14ac:dyDescent="0.25">
      <c r="A91" s="25">
        <v>1</v>
      </c>
      <c r="B91" s="26" t="s">
        <v>174</v>
      </c>
      <c r="C91" s="26" t="s">
        <v>175</v>
      </c>
      <c r="D91" s="25" t="s">
        <v>9</v>
      </c>
      <c r="E91" s="25" t="s">
        <v>11</v>
      </c>
      <c r="F91" s="27">
        <v>0</v>
      </c>
      <c r="G91" s="28">
        <v>46323</v>
      </c>
      <c r="H91" s="28">
        <v>46323</v>
      </c>
      <c r="I91" s="29">
        <f>NETWORKDAYS(G91,H91)</f>
      </c>
      <c r="J91" s="28"/>
      <c r="K91" s="28"/>
      <c r="L91" s="29">
        <f>IF(OR(J91="",K91=""),"",NETWORKDAYS(J91,K91))</f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5" customHeight="1" spans="1:40" x14ac:dyDescent="0.25">
      <c r="A92" s="25">
        <v>2</v>
      </c>
      <c r="B92" s="26" t="s">
        <v>176</v>
      </c>
      <c r="C92" s="26" t="s">
        <v>177</v>
      </c>
      <c r="D92" s="25" t="s">
        <v>9</v>
      </c>
      <c r="E92" s="25" t="s">
        <v>11</v>
      </c>
      <c r="F92" s="27">
        <v>0</v>
      </c>
      <c r="G92" s="28">
        <v>46323</v>
      </c>
      <c r="H92" s="28">
        <v>46323</v>
      </c>
      <c r="I92" s="29">
        <f>NETWORKDAYS(G92,H92)</f>
      </c>
      <c r="J92" s="28"/>
      <c r="K92" s="28"/>
      <c r="L92" s="29">
        <f>IF(OR(J92="",K92=""),"",NETWORKDAYS(J92,K92))</f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5" customHeight="1" spans="1:40" x14ac:dyDescent="0.25">
      <c r="A93" s="25">
        <v>3</v>
      </c>
      <c r="B93" s="26" t="s">
        <v>178</v>
      </c>
      <c r="C93" s="26" t="s">
        <v>179</v>
      </c>
      <c r="D93" s="25" t="s">
        <v>9</v>
      </c>
      <c r="E93" s="25" t="s">
        <v>11</v>
      </c>
      <c r="F93" s="27">
        <v>0</v>
      </c>
      <c r="G93" s="28">
        <v>46324</v>
      </c>
      <c r="H93" s="28">
        <v>46324</v>
      </c>
      <c r="I93" s="29">
        <f>NETWORKDAYS(G93,H93)</f>
      </c>
      <c r="J93" s="28"/>
      <c r="K93" s="28"/>
      <c r="L93" s="29">
        <f>IF(OR(J93="",K93=""),"",NETWORKDAYS(J93,K93))</f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5" customHeight="1" spans="1:40" x14ac:dyDescent="0.25">
      <c r="A94" s="25">
        <v>4</v>
      </c>
      <c r="B94" s="26" t="s">
        <v>180</v>
      </c>
      <c r="C94" s="26" t="s">
        <v>181</v>
      </c>
      <c r="D94" s="25" t="s">
        <v>9</v>
      </c>
      <c r="E94" s="25" t="s">
        <v>11</v>
      </c>
      <c r="F94" s="27">
        <v>0</v>
      </c>
      <c r="G94" s="28">
        <v>46324</v>
      </c>
      <c r="H94" s="28">
        <v>46324</v>
      </c>
      <c r="I94" s="29">
        <f>NETWORKDAYS(G94,H94)</f>
      </c>
      <c r="J94" s="28"/>
      <c r="K94" s="28"/>
      <c r="L94" s="29">
        <f>IF(OR(J94="",K94=""),"",NETWORKDAYS(J94,K94))</f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5" customHeight="1" spans="1:40" x14ac:dyDescent="0.25">
      <c r="A95" s="25">
        <v>5</v>
      </c>
      <c r="B95" s="26" t="s">
        <v>182</v>
      </c>
      <c r="C95" s="26" t="s">
        <v>183</v>
      </c>
      <c r="D95" s="25" t="s">
        <v>9</v>
      </c>
      <c r="E95" s="25" t="s">
        <v>11</v>
      </c>
      <c r="F95" s="27">
        <v>0</v>
      </c>
      <c r="G95" s="28">
        <v>46324</v>
      </c>
      <c r="H95" s="28">
        <v>46324</v>
      </c>
      <c r="I95" s="29">
        <f>NETWORKDAYS(G95,H95)</f>
      </c>
      <c r="J95" s="28"/>
      <c r="K95" s="28"/>
      <c r="L95" s="29">
        <f>IF(OR(J95="",K95=""),"",NETWORKDAYS(J95,K95))</f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5" customHeight="1" spans="1:40" x14ac:dyDescent="0.25">
      <c r="A96" s="25">
        <v>6</v>
      </c>
      <c r="B96" s="26" t="s">
        <v>184</v>
      </c>
      <c r="C96" s="26" t="s">
        <v>185</v>
      </c>
      <c r="D96" s="25" t="s">
        <v>10</v>
      </c>
      <c r="E96" s="25" t="s">
        <v>8</v>
      </c>
      <c r="F96" s="27">
        <v>0</v>
      </c>
      <c r="G96" s="28">
        <v>46324</v>
      </c>
      <c r="H96" s="28">
        <v>46324</v>
      </c>
      <c r="I96" s="29">
        <f>NETWORKDAYS(G96,H96)</f>
      </c>
      <c r="J96" s="28"/>
      <c r="K96" s="28"/>
      <c r="L96" s="29">
        <f>IF(OR(J96="",K96=""),"",NETWORKDAYS(J96,K96))</f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5" customHeight="1" spans="1:40" x14ac:dyDescent="0.25">
      <c r="A97" s="25">
        <v>7</v>
      </c>
      <c r="B97" s="26" t="s">
        <v>186</v>
      </c>
      <c r="C97" s="26" t="s">
        <v>187</v>
      </c>
      <c r="D97" s="25" t="s">
        <v>9</v>
      </c>
      <c r="E97" s="25" t="s">
        <v>11</v>
      </c>
      <c r="F97" s="27">
        <v>0</v>
      </c>
      <c r="G97" s="28">
        <v>46325</v>
      </c>
      <c r="H97" s="28">
        <v>46325</v>
      </c>
      <c r="I97" s="29">
        <f>NETWORKDAYS(G97,H97)</f>
      </c>
      <c r="J97" s="28"/>
      <c r="K97" s="28"/>
      <c r="L97" s="29">
        <f>IF(OR(J97="",K97=""),"",NETWORKDAYS(J97,K97))</f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5" customHeight="1" spans="1:40" x14ac:dyDescent="0.25">
      <c r="A98" s="25">
        <v>8</v>
      </c>
      <c r="B98" s="26" t="s">
        <v>188</v>
      </c>
      <c r="C98" s="26" t="s">
        <v>189</v>
      </c>
      <c r="D98" s="25" t="s">
        <v>9</v>
      </c>
      <c r="E98" s="25" t="s">
        <v>11</v>
      </c>
      <c r="F98" s="27">
        <v>0</v>
      </c>
      <c r="G98" s="28">
        <v>46325</v>
      </c>
      <c r="H98" s="28">
        <v>46325</v>
      </c>
      <c r="I98" s="29">
        <f>NETWORKDAYS(G98,H98)</f>
      </c>
      <c r="J98" s="28"/>
      <c r="K98" s="28"/>
      <c r="L98" s="29">
        <f>IF(OR(J98="",K98=""),"",NETWORKDAYS(J98,K98))</f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5" customHeight="1" spans="1:40" x14ac:dyDescent="0.25">
      <c r="A99" s="25">
        <v>9</v>
      </c>
      <c r="B99" s="26" t="s">
        <v>190</v>
      </c>
      <c r="C99" s="26" t="s">
        <v>191</v>
      </c>
      <c r="D99" s="25" t="s">
        <v>10</v>
      </c>
      <c r="E99" s="25" t="s">
        <v>8</v>
      </c>
      <c r="F99" s="27">
        <v>0</v>
      </c>
      <c r="G99" s="28">
        <v>46325</v>
      </c>
      <c r="H99" s="28">
        <v>46325</v>
      </c>
      <c r="I99" s="29">
        <f>NETWORKDAYS(G99,H99)</f>
      </c>
      <c r="J99" s="28"/>
      <c r="K99" s="28"/>
      <c r="L99" s="29">
        <f>IF(OR(J99="",K99=""),"",NETWORKDAYS(J99,K99))</f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5" customHeight="1" spans="1:40" x14ac:dyDescent="0.25">
      <c r="A100" s="25">
        <v>10</v>
      </c>
      <c r="B100" s="26" t="s">
        <v>192</v>
      </c>
      <c r="C100" s="26" t="s">
        <v>193</v>
      </c>
      <c r="D100" s="25" t="s">
        <v>10</v>
      </c>
      <c r="E100" s="25" t="s">
        <v>8</v>
      </c>
      <c r="F100" s="27">
        <v>0</v>
      </c>
      <c r="G100" s="28">
        <v>46325</v>
      </c>
      <c r="H100" s="28">
        <v>46325</v>
      </c>
      <c r="I100" s="29">
        <f>NETWORKDAYS(G100,H100)</f>
      </c>
      <c r="J100" s="28"/>
      <c r="K100" s="28"/>
      <c r="L100" s="29">
        <f>IF(OR(J100="",K100=""),"",NETWORKDAYS(J100,K100))</f>
      </c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5" customHeight="1" spans="1:40" x14ac:dyDescent="0.25">
      <c r="A101" s="25">
        <v>11</v>
      </c>
      <c r="B101" s="26" t="s">
        <v>194</v>
      </c>
      <c r="C101" s="26" t="s">
        <v>195</v>
      </c>
      <c r="D101" s="25" t="s">
        <v>10</v>
      </c>
      <c r="E101" s="25" t="s">
        <v>8</v>
      </c>
      <c r="F101" s="27">
        <v>0</v>
      </c>
      <c r="G101" s="28">
        <v>46325</v>
      </c>
      <c r="H101" s="28">
        <v>46325</v>
      </c>
      <c r="I101" s="29">
        <f>NETWORKDAYS(G101,H101)</f>
      </c>
      <c r="J101" s="28"/>
      <c r="K101" s="28"/>
      <c r="L101" s="29">
        <f>IF(OR(J101="",K101=""),"",NETWORKDAYS(J101,K101))</f>
      </c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5" customHeight="1" spans="1:40" x14ac:dyDescent="0.25">
      <c r="A102" s="25">
        <v>12</v>
      </c>
      <c r="B102" s="26" t="s">
        <v>196</v>
      </c>
      <c r="C102" s="26" t="s">
        <v>197</v>
      </c>
      <c r="D102" s="25" t="s">
        <v>9</v>
      </c>
      <c r="E102" s="25" t="s">
        <v>11</v>
      </c>
      <c r="F102" s="27">
        <v>0</v>
      </c>
      <c r="G102" s="28">
        <v>46328</v>
      </c>
      <c r="H102" s="28">
        <v>46328</v>
      </c>
      <c r="I102" s="29">
        <f>NETWORKDAYS(G102,H102)</f>
      </c>
      <c r="J102" s="28"/>
      <c r="K102" s="28"/>
      <c r="L102" s="29">
        <f>IF(OR(J102="",K102=""),"",NETWORKDAYS(J102,K102))</f>
      </c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5" customHeight="1" spans="1:40" x14ac:dyDescent="0.25">
      <c r="A103" s="25">
        <v>13</v>
      </c>
      <c r="B103" s="26" t="s">
        <v>198</v>
      </c>
      <c r="C103" s="26" t="s">
        <v>199</v>
      </c>
      <c r="D103" s="25" t="s">
        <v>9</v>
      </c>
      <c r="E103" s="25" t="s">
        <v>11</v>
      </c>
      <c r="F103" s="27">
        <v>0</v>
      </c>
      <c r="G103" s="28">
        <v>46328</v>
      </c>
      <c r="H103" s="28">
        <v>46328</v>
      </c>
      <c r="I103" s="29">
        <f>NETWORKDAYS(G103,H103)</f>
      </c>
      <c r="J103" s="28"/>
      <c r="K103" s="28"/>
      <c r="L103" s="29">
        <f>IF(OR(J103="",K103=""),"",NETWORKDAYS(J103,K103))</f>
      </c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5" customHeight="1" spans="1:40" x14ac:dyDescent="0.25">
      <c r="A104" s="25">
        <v>14</v>
      </c>
      <c r="B104" s="26" t="s">
        <v>200</v>
      </c>
      <c r="C104" s="26" t="s">
        <v>201</v>
      </c>
      <c r="D104" s="25" t="s">
        <v>9</v>
      </c>
      <c r="E104" s="25" t="s">
        <v>11</v>
      </c>
      <c r="F104" s="27">
        <v>0</v>
      </c>
      <c r="G104" s="28">
        <v>46328</v>
      </c>
      <c r="H104" s="28">
        <v>46328</v>
      </c>
      <c r="I104" s="29">
        <f>NETWORKDAYS(G104,H104)</f>
      </c>
      <c r="J104" s="28"/>
      <c r="K104" s="28"/>
      <c r="L104" s="29">
        <f>IF(OR(J104="",K104=""),"",NETWORKDAYS(J104,K104))</f>
      </c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5" customHeight="1" spans="1:40" x14ac:dyDescent="0.25">
      <c r="A105" s="25">
        <v>15</v>
      </c>
      <c r="B105" s="26" t="s">
        <v>202</v>
      </c>
      <c r="C105" s="26" t="s">
        <v>203</v>
      </c>
      <c r="D105" s="25" t="s">
        <v>10</v>
      </c>
      <c r="E105" s="25" t="s">
        <v>8</v>
      </c>
      <c r="F105" s="27">
        <v>0</v>
      </c>
      <c r="G105" s="28">
        <v>46328</v>
      </c>
      <c r="H105" s="28">
        <v>46328</v>
      </c>
      <c r="I105" s="29">
        <f>NETWORKDAYS(G105,H105)</f>
      </c>
      <c r="J105" s="28"/>
      <c r="K105" s="28"/>
      <c r="L105" s="29">
        <f>IF(OR(J105="",K105=""),"",NETWORKDAYS(J105,K105))</f>
      </c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5" customHeight="1" spans="1:40" x14ac:dyDescent="0.25">
      <c r="A106" s="25">
        <v>16</v>
      </c>
      <c r="B106" s="26" t="s">
        <v>204</v>
      </c>
      <c r="C106" s="26" t="s">
        <v>205</v>
      </c>
      <c r="D106" s="25" t="s">
        <v>10</v>
      </c>
      <c r="E106" s="25" t="s">
        <v>8</v>
      </c>
      <c r="F106" s="27">
        <v>0</v>
      </c>
      <c r="G106" s="28">
        <v>46328</v>
      </c>
      <c r="H106" s="28">
        <v>46328</v>
      </c>
      <c r="I106" s="29">
        <f>NETWORKDAYS(G106,H106)</f>
      </c>
      <c r="J106" s="28"/>
      <c r="K106" s="28"/>
      <c r="L106" s="29">
        <f>IF(OR(J106="",K106=""),"",NETWORKDAYS(J106,K106))</f>
      </c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5" customHeight="1" spans="1:40" x14ac:dyDescent="0.25">
      <c r="A107" s="25">
        <v>17</v>
      </c>
      <c r="B107" s="26" t="s">
        <v>206</v>
      </c>
      <c r="C107" s="26" t="s">
        <v>207</v>
      </c>
      <c r="D107" s="25" t="s">
        <v>10</v>
      </c>
      <c r="E107" s="25" t="s">
        <v>8</v>
      </c>
      <c r="F107" s="27">
        <v>0</v>
      </c>
      <c r="G107" s="28">
        <v>46328</v>
      </c>
      <c r="H107" s="28">
        <v>46328</v>
      </c>
      <c r="I107" s="29">
        <f>NETWORKDAYS(G107,H107)</f>
      </c>
      <c r="J107" s="28"/>
      <c r="K107" s="28"/>
      <c r="L107" s="29">
        <f>IF(OR(J107="",K107=""),"",NETWORKDAYS(J107,K107))</f>
      </c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5" customHeight="1" spans="1:40" x14ac:dyDescent="0.25">
      <c r="A108" s="25">
        <v>18</v>
      </c>
      <c r="B108" s="26" t="s">
        <v>208</v>
      </c>
      <c r="C108" s="26" t="s">
        <v>209</v>
      </c>
      <c r="D108" s="25" t="s">
        <v>10</v>
      </c>
      <c r="E108" s="25" t="s">
        <v>8</v>
      </c>
      <c r="F108" s="27">
        <v>0</v>
      </c>
      <c r="G108" s="28">
        <v>46329</v>
      </c>
      <c r="H108" s="28">
        <v>46329</v>
      </c>
      <c r="I108" s="29">
        <f>NETWORKDAYS(G108,H108)</f>
      </c>
      <c r="J108" s="28"/>
      <c r="K108" s="28"/>
      <c r="L108" s="29">
        <f>IF(OR(J108="",K108=""),"",NETWORKDAYS(J108,K108))</f>
      </c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5" customHeight="1" spans="1:40" x14ac:dyDescent="0.25">
      <c r="A109" s="25">
        <v>19</v>
      </c>
      <c r="B109" s="26" t="s">
        <v>210</v>
      </c>
      <c r="C109" s="26" t="s">
        <v>211</v>
      </c>
      <c r="D109" s="25" t="s">
        <v>9</v>
      </c>
      <c r="E109" s="25" t="s">
        <v>11</v>
      </c>
      <c r="F109" s="27">
        <v>0</v>
      </c>
      <c r="G109" s="28">
        <v>46336</v>
      </c>
      <c r="H109" s="28">
        <v>46336</v>
      </c>
      <c r="I109" s="29">
        <f>NETWORKDAYS(G109,H109)</f>
      </c>
      <c r="J109" s="28"/>
      <c r="K109" s="28"/>
      <c r="L109" s="29">
        <f>IF(OR(J109="",K109=""),"",NETWORKDAYS(J109,K109))</f>
      </c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5" customHeight="1" spans="1:40" x14ac:dyDescent="0.25">
      <c r="A110" s="25">
        <v>20</v>
      </c>
      <c r="B110" s="26" t="s">
        <v>212</v>
      </c>
      <c r="C110" s="26" t="s">
        <v>213</v>
      </c>
      <c r="D110" s="25" t="s">
        <v>9</v>
      </c>
      <c r="E110" s="25" t="s">
        <v>11</v>
      </c>
      <c r="F110" s="27">
        <v>0</v>
      </c>
      <c r="G110" s="28">
        <v>46337</v>
      </c>
      <c r="H110" s="28">
        <v>46337</v>
      </c>
      <c r="I110" s="29">
        <f>NETWORKDAYS(G110,H110)</f>
      </c>
      <c r="J110" s="28"/>
      <c r="K110" s="28"/>
      <c r="L110" s="29">
        <f>IF(OR(J110="",K110=""),"",NETWORKDAYS(J110,K110))</f>
      </c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5" customHeight="1" spans="1:40" x14ac:dyDescent="0.25">
      <c r="A111" s="25">
        <v>21</v>
      </c>
      <c r="B111" s="26" t="s">
        <v>214</v>
      </c>
      <c r="C111" s="26" t="s">
        <v>215</v>
      </c>
      <c r="D111" s="25" t="s">
        <v>9</v>
      </c>
      <c r="E111" s="25" t="s">
        <v>11</v>
      </c>
      <c r="F111" s="27">
        <v>0</v>
      </c>
      <c r="G111" s="28">
        <v>46338</v>
      </c>
      <c r="H111" s="28">
        <v>46338</v>
      </c>
      <c r="I111" s="29">
        <f>NETWORKDAYS(G111,H111)</f>
      </c>
      <c r="J111" s="28"/>
      <c r="K111" s="28"/>
      <c r="L111" s="29">
        <f>IF(OR(J111="",K111=""),"",NETWORKDAYS(J111,K111))</f>
      </c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spans="1:40" x14ac:dyDescent="0.25">
      <c r="A112" s="31">
        <v>4</v>
      </c>
      <c r="B112" s="32" t="s">
        <v>216</v>
      </c>
      <c r="C112" s="33" t="s">
        <v>28</v>
      </c>
      <c r="D112" s="33" t="s">
        <v>28</v>
      </c>
      <c r="E112" s="33" t="s">
        <v>28</v>
      </c>
      <c r="F112" s="34">
        <f>AVERAGE(F113:F124)</f>
      </c>
      <c r="G112" s="35">
        <f>MIN(G113:G124)</f>
      </c>
      <c r="H112" s="35">
        <f>MAX(H113:H124)</f>
      </c>
      <c r="I112" s="31">
        <f>NETWORKDAYS(G112,H112)</f>
      </c>
      <c r="J112" s="35">
        <f>IF(COUNT(J113:J124)=0,"",MIN(J113:J124))</f>
      </c>
      <c r="K112" s="35">
        <f>IF(COUNT(K113:K124)=0,"",MAX(K113:K124))</f>
      </c>
      <c r="L112" s="31">
        <f>IF(OR(J112="",K112=""),"",NETWORKDAYS(J112,K112))</f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" customHeight="1" spans="1:40" x14ac:dyDescent="0.25">
      <c r="A113" s="25">
        <v>1</v>
      </c>
      <c r="B113" s="26" t="s">
        <v>217</v>
      </c>
      <c r="C113" s="26" t="s">
        <v>218</v>
      </c>
      <c r="D113" s="25" t="s">
        <v>8</v>
      </c>
      <c r="E113" s="25" t="s">
        <v>9</v>
      </c>
      <c r="F113" s="27">
        <v>0</v>
      </c>
      <c r="G113" s="28">
        <v>46328</v>
      </c>
      <c r="H113" s="28">
        <v>46328</v>
      </c>
      <c r="I113" s="29">
        <f>NETWORKDAYS(G113,H113)</f>
      </c>
      <c r="J113" s="28"/>
      <c r="K113" s="28"/>
      <c r="L113" s="29">
        <f>IF(OR(J113="",K113=""),"",NETWORKDAYS(J113,K113))</f>
      </c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5" customHeight="1" spans="1:40" x14ac:dyDescent="0.25">
      <c r="A114" s="25">
        <v>2</v>
      </c>
      <c r="B114" s="26" t="s">
        <v>219</v>
      </c>
      <c r="C114" s="26" t="s">
        <v>220</v>
      </c>
      <c r="D114" s="25" t="s">
        <v>8</v>
      </c>
      <c r="E114" s="25" t="s">
        <v>9</v>
      </c>
      <c r="F114" s="27">
        <v>0</v>
      </c>
      <c r="G114" s="28">
        <v>46328</v>
      </c>
      <c r="H114" s="28">
        <v>46328</v>
      </c>
      <c r="I114" s="29">
        <f>NETWORKDAYS(G114,H114)</f>
      </c>
      <c r="J114" s="28"/>
      <c r="K114" s="28"/>
      <c r="L114" s="29">
        <f>IF(OR(J114="",K114=""),"",NETWORKDAYS(J114,K114))</f>
      </c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5" customHeight="1" spans="1:40" x14ac:dyDescent="0.25">
      <c r="A115" s="25">
        <v>3</v>
      </c>
      <c r="B115" s="26" t="s">
        <v>221</v>
      </c>
      <c r="C115" s="26" t="s">
        <v>222</v>
      </c>
      <c r="D115" s="25" t="s">
        <v>8</v>
      </c>
      <c r="E115" s="25" t="s">
        <v>9</v>
      </c>
      <c r="F115" s="27">
        <v>0</v>
      </c>
      <c r="G115" s="28">
        <v>46328</v>
      </c>
      <c r="H115" s="28">
        <v>46328</v>
      </c>
      <c r="I115" s="29">
        <f>NETWORKDAYS(G115,H115)</f>
      </c>
      <c r="J115" s="28"/>
      <c r="K115" s="28"/>
      <c r="L115" s="29">
        <f>IF(OR(J115="",K115=""),"",NETWORKDAYS(J115,K115))</f>
      </c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5" customHeight="1" spans="1:40" x14ac:dyDescent="0.25">
      <c r="A116" s="25">
        <v>4</v>
      </c>
      <c r="B116" s="26" t="s">
        <v>223</v>
      </c>
      <c r="C116" s="26" t="s">
        <v>224</v>
      </c>
      <c r="D116" s="25" t="s">
        <v>8</v>
      </c>
      <c r="E116" s="25" t="s">
        <v>9</v>
      </c>
      <c r="F116" s="27">
        <v>0</v>
      </c>
      <c r="G116" s="28">
        <v>46329</v>
      </c>
      <c r="H116" s="28">
        <v>46329</v>
      </c>
      <c r="I116" s="29">
        <f>NETWORKDAYS(G116,H116)</f>
      </c>
      <c r="J116" s="28"/>
      <c r="K116" s="28"/>
      <c r="L116" s="29">
        <f>IF(OR(J116="",K116=""),"",NETWORKDAYS(J116,K116))</f>
      </c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5" customHeight="1" spans="1:40" x14ac:dyDescent="0.25">
      <c r="A117" s="25">
        <v>5</v>
      </c>
      <c r="B117" s="26" t="s">
        <v>225</v>
      </c>
      <c r="C117" s="26" t="s">
        <v>226</v>
      </c>
      <c r="D117" s="25" t="s">
        <v>8</v>
      </c>
      <c r="E117" s="25" t="s">
        <v>9</v>
      </c>
      <c r="F117" s="27">
        <v>0</v>
      </c>
      <c r="G117" s="28">
        <v>46329</v>
      </c>
      <c r="H117" s="28">
        <v>46329</v>
      </c>
      <c r="I117" s="29">
        <f>NETWORKDAYS(G117,H117)</f>
      </c>
      <c r="J117" s="28"/>
      <c r="K117" s="28"/>
      <c r="L117" s="29">
        <f>IF(OR(J117="",K117=""),"",NETWORKDAYS(J117,K117))</f>
      </c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5" customHeight="1" spans="1:40" x14ac:dyDescent="0.25">
      <c r="A118" s="25">
        <v>6</v>
      </c>
      <c r="B118" s="26" t="s">
        <v>227</v>
      </c>
      <c r="C118" s="26" t="s">
        <v>228</v>
      </c>
      <c r="D118" s="25" t="s">
        <v>8</v>
      </c>
      <c r="E118" s="25" t="s">
        <v>9</v>
      </c>
      <c r="F118" s="27">
        <v>0</v>
      </c>
      <c r="G118" s="28">
        <v>46329</v>
      </c>
      <c r="H118" s="28">
        <v>46329</v>
      </c>
      <c r="I118" s="29">
        <f>NETWORKDAYS(G118,H118)</f>
      </c>
      <c r="J118" s="28"/>
      <c r="K118" s="28"/>
      <c r="L118" s="29">
        <f>IF(OR(J118="",K118=""),"",NETWORKDAYS(J118,K118))</f>
      </c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5" customHeight="1" spans="1:40" x14ac:dyDescent="0.25">
      <c r="A119" s="25">
        <v>7</v>
      </c>
      <c r="B119" s="26" t="s">
        <v>229</v>
      </c>
      <c r="C119" s="26" t="s">
        <v>230</v>
      </c>
      <c r="D119" s="25" t="s">
        <v>8</v>
      </c>
      <c r="E119" s="25" t="s">
        <v>9</v>
      </c>
      <c r="F119" s="27">
        <v>0</v>
      </c>
      <c r="G119" s="28">
        <v>46335</v>
      </c>
      <c r="H119" s="28">
        <v>46335</v>
      </c>
      <c r="I119" s="29">
        <f>NETWORKDAYS(G119,H119)</f>
      </c>
      <c r="J119" s="28"/>
      <c r="K119" s="28"/>
      <c r="L119" s="29">
        <f>IF(OR(J119="",K119=""),"",NETWORKDAYS(J119,K119))</f>
      </c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5" customHeight="1" spans="1:40" x14ac:dyDescent="0.25">
      <c r="A120" s="25">
        <v>8</v>
      </c>
      <c r="B120" s="26" t="s">
        <v>231</v>
      </c>
      <c r="C120" s="26" t="s">
        <v>230</v>
      </c>
      <c r="D120" s="25" t="s">
        <v>8</v>
      </c>
      <c r="E120" s="25" t="s">
        <v>9</v>
      </c>
      <c r="F120" s="27">
        <v>0</v>
      </c>
      <c r="G120" s="28">
        <v>46335</v>
      </c>
      <c r="H120" s="28">
        <v>46335</v>
      </c>
      <c r="I120" s="29">
        <f>NETWORKDAYS(G120,H120)</f>
      </c>
      <c r="J120" s="28"/>
      <c r="K120" s="28"/>
      <c r="L120" s="29">
        <f>IF(OR(J120="",K120=""),"",NETWORKDAYS(J120,K120))</f>
      </c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5" customHeight="1" spans="1:40" x14ac:dyDescent="0.25">
      <c r="A121" s="25">
        <v>9</v>
      </c>
      <c r="B121" s="26" t="s">
        <v>232</v>
      </c>
      <c r="C121" s="26" t="s">
        <v>233</v>
      </c>
      <c r="D121" s="25" t="s">
        <v>8</v>
      </c>
      <c r="E121" s="25" t="s">
        <v>9</v>
      </c>
      <c r="F121" s="27">
        <v>0</v>
      </c>
      <c r="G121" s="28">
        <v>46335</v>
      </c>
      <c r="H121" s="28">
        <v>46335</v>
      </c>
      <c r="I121" s="29">
        <f>NETWORKDAYS(G121,H121)</f>
      </c>
      <c r="J121" s="28"/>
      <c r="K121" s="28"/>
      <c r="L121" s="29">
        <f>IF(OR(J121="",K121=""),"",NETWORKDAYS(J121,K121))</f>
      </c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5" customHeight="1" spans="1:40" x14ac:dyDescent="0.25">
      <c r="A122" s="25">
        <v>10</v>
      </c>
      <c r="B122" s="26" t="s">
        <v>234</v>
      </c>
      <c r="C122" s="26" t="s">
        <v>235</v>
      </c>
      <c r="D122" s="25" t="s">
        <v>8</v>
      </c>
      <c r="E122" s="25" t="s">
        <v>9</v>
      </c>
      <c r="F122" s="27">
        <v>0</v>
      </c>
      <c r="G122" s="28">
        <v>46335</v>
      </c>
      <c r="H122" s="28">
        <v>46335</v>
      </c>
      <c r="I122" s="29">
        <f>NETWORKDAYS(G122,H122)</f>
      </c>
      <c r="J122" s="28"/>
      <c r="K122" s="28"/>
      <c r="L122" s="29">
        <f>IF(OR(J122="",K122=""),"",NETWORKDAYS(J122,K122))</f>
      </c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5" customHeight="1" spans="1:40" x14ac:dyDescent="0.25">
      <c r="A123" s="25">
        <v>11</v>
      </c>
      <c r="B123" s="26" t="s">
        <v>236</v>
      </c>
      <c r="C123" s="26" t="s">
        <v>237</v>
      </c>
      <c r="D123" s="25" t="s">
        <v>8</v>
      </c>
      <c r="E123" s="25" t="s">
        <v>9</v>
      </c>
      <c r="F123" s="27">
        <v>0</v>
      </c>
      <c r="G123" s="28">
        <v>46336</v>
      </c>
      <c r="H123" s="28">
        <v>46336</v>
      </c>
      <c r="I123" s="29">
        <f>NETWORKDAYS(G123,H123)</f>
      </c>
      <c r="J123" s="28"/>
      <c r="K123" s="28"/>
      <c r="L123" s="29">
        <f>IF(OR(J123="",K123=""),"",NETWORKDAYS(J123,K123))</f>
      </c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5" customHeight="1" spans="1:40" x14ac:dyDescent="0.25">
      <c r="A124" s="25">
        <v>12</v>
      </c>
      <c r="B124" s="26" t="s">
        <v>238</v>
      </c>
      <c r="C124" s="26" t="s">
        <v>239</v>
      </c>
      <c r="D124" s="25" t="s">
        <v>8</v>
      </c>
      <c r="E124" s="25" t="s">
        <v>9</v>
      </c>
      <c r="F124" s="27">
        <v>0</v>
      </c>
      <c r="G124" s="28">
        <v>46336</v>
      </c>
      <c r="H124" s="28">
        <v>46336</v>
      </c>
      <c r="I124" s="29">
        <f>NETWORKDAYS(G124,H124)</f>
      </c>
      <c r="J124" s="28"/>
      <c r="K124" s="28"/>
      <c r="L124" s="29">
        <f>IF(OR(J124="",K124=""),"",NETWORKDAYS(J124,K124))</f>
      </c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spans="1:40" x14ac:dyDescent="0.25">
      <c r="A125" s="31">
        <v>5</v>
      </c>
      <c r="B125" s="32" t="s">
        <v>240</v>
      </c>
      <c r="C125" s="33" t="s">
        <v>28</v>
      </c>
      <c r="D125" s="33" t="s">
        <v>28</v>
      </c>
      <c r="E125" s="33" t="s">
        <v>28</v>
      </c>
      <c r="F125" s="34">
        <f>AVERAGE(F126:F142)</f>
      </c>
      <c r="G125" s="35">
        <f>MIN(G126:G142)</f>
      </c>
      <c r="H125" s="35">
        <f>MAX(H126:H142)</f>
      </c>
      <c r="I125" s="31">
        <f>NETWORKDAYS(G125,H125)</f>
      </c>
      <c r="J125" s="35">
        <f>IF(COUNT(J126:J142)=0,"",MIN(J126:J142))</f>
      </c>
      <c r="K125" s="35">
        <f>IF(COUNT(K126:K142)=0,"",MAX(K126:K142))</f>
      </c>
      <c r="L125" s="31">
        <f>IF(OR(J125="",K125=""),"",NETWORKDAYS(J125,K125))</f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" customHeight="1" spans="1:40" x14ac:dyDescent="0.25">
      <c r="A126" s="25">
        <v>1</v>
      </c>
      <c r="B126" s="26" t="s">
        <v>241</v>
      </c>
      <c r="C126" s="26" t="s">
        <v>242</v>
      </c>
      <c r="D126" s="25" t="s">
        <v>11</v>
      </c>
      <c r="E126" s="25" t="s">
        <v>9</v>
      </c>
      <c r="F126" s="27">
        <v>0</v>
      </c>
      <c r="G126" s="28">
        <v>46328</v>
      </c>
      <c r="H126" s="28">
        <v>46328</v>
      </c>
      <c r="I126" s="29">
        <f>NETWORKDAYS(G126,H126)</f>
      </c>
      <c r="J126" s="28"/>
      <c r="K126" s="28"/>
      <c r="L126" s="29">
        <f>IF(OR(J126="",K126=""),"",NETWORKDAYS(J126,K126))</f>
      </c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5" customHeight="1" spans="1:40" x14ac:dyDescent="0.25">
      <c r="A127" s="25">
        <v>2</v>
      </c>
      <c r="B127" s="26" t="s">
        <v>243</v>
      </c>
      <c r="C127" s="26" t="s">
        <v>244</v>
      </c>
      <c r="D127" s="25" t="s">
        <v>11</v>
      </c>
      <c r="E127" s="25" t="s">
        <v>9</v>
      </c>
      <c r="F127" s="27">
        <v>0</v>
      </c>
      <c r="G127" s="28">
        <v>46328</v>
      </c>
      <c r="H127" s="28">
        <v>46328</v>
      </c>
      <c r="I127" s="29">
        <f>NETWORKDAYS(G127,H127)</f>
      </c>
      <c r="J127" s="28"/>
      <c r="K127" s="28"/>
      <c r="L127" s="29">
        <f>IF(OR(J127="",K127=""),"",NETWORKDAYS(J127,K127))</f>
      </c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5" customHeight="1" spans="1:40" x14ac:dyDescent="0.25">
      <c r="A128" s="25">
        <v>3</v>
      </c>
      <c r="B128" s="26" t="s">
        <v>245</v>
      </c>
      <c r="C128" s="26" t="s">
        <v>246</v>
      </c>
      <c r="D128" s="25" t="s">
        <v>11</v>
      </c>
      <c r="E128" s="25" t="s">
        <v>9</v>
      </c>
      <c r="F128" s="27">
        <v>0</v>
      </c>
      <c r="G128" s="28">
        <v>46329</v>
      </c>
      <c r="H128" s="28">
        <v>46329</v>
      </c>
      <c r="I128" s="29">
        <f>NETWORKDAYS(G128,H128)</f>
      </c>
      <c r="J128" s="28"/>
      <c r="K128" s="28"/>
      <c r="L128" s="29">
        <f>IF(OR(J128="",K128=""),"",NETWORKDAYS(J128,K128))</f>
      </c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5" customHeight="1" spans="1:40" x14ac:dyDescent="0.25">
      <c r="A129" s="25">
        <v>4</v>
      </c>
      <c r="B129" s="26" t="s">
        <v>247</v>
      </c>
      <c r="C129" s="26" t="s">
        <v>248</v>
      </c>
      <c r="D129" s="25" t="s">
        <v>11</v>
      </c>
      <c r="E129" s="25" t="s">
        <v>9</v>
      </c>
      <c r="F129" s="27">
        <v>0</v>
      </c>
      <c r="G129" s="28">
        <v>46329</v>
      </c>
      <c r="H129" s="28">
        <v>46329</v>
      </c>
      <c r="I129" s="29">
        <f>NETWORKDAYS(G129,H129)</f>
      </c>
      <c r="J129" s="28"/>
      <c r="K129" s="28"/>
      <c r="L129" s="29">
        <f>IF(OR(J129="",K129=""),"",NETWORKDAYS(J129,K129))</f>
      </c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5" customHeight="1" spans="1:40" x14ac:dyDescent="0.25">
      <c r="A130" s="25">
        <v>5</v>
      </c>
      <c r="B130" s="26" t="s">
        <v>249</v>
      </c>
      <c r="C130" s="26" t="s">
        <v>250</v>
      </c>
      <c r="D130" s="25" t="s">
        <v>11</v>
      </c>
      <c r="E130" s="25" t="s">
        <v>9</v>
      </c>
      <c r="F130" s="27">
        <v>0</v>
      </c>
      <c r="G130" s="28">
        <v>46330</v>
      </c>
      <c r="H130" s="28">
        <v>46330</v>
      </c>
      <c r="I130" s="29">
        <f>NETWORKDAYS(G130,H130)</f>
      </c>
      <c r="J130" s="28"/>
      <c r="K130" s="28"/>
      <c r="L130" s="29">
        <f>IF(OR(J130="",K130=""),"",NETWORKDAYS(J130,K130))</f>
      </c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5" customHeight="1" spans="1:40" x14ac:dyDescent="0.25">
      <c r="A131" s="25">
        <v>6</v>
      </c>
      <c r="B131" s="26" t="s">
        <v>251</v>
      </c>
      <c r="C131" s="26" t="s">
        <v>252</v>
      </c>
      <c r="D131" s="25" t="s">
        <v>11</v>
      </c>
      <c r="E131" s="25" t="s">
        <v>9</v>
      </c>
      <c r="F131" s="27">
        <v>0</v>
      </c>
      <c r="G131" s="28">
        <v>46330</v>
      </c>
      <c r="H131" s="28">
        <v>46330</v>
      </c>
      <c r="I131" s="29">
        <f>NETWORKDAYS(G131,H131)</f>
      </c>
      <c r="J131" s="28"/>
      <c r="K131" s="28"/>
      <c r="L131" s="29">
        <f>IF(OR(J131="",K131=""),"",NETWORKDAYS(J131,K131))</f>
      </c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5" customHeight="1" spans="1:40" x14ac:dyDescent="0.25">
      <c r="A132" s="25">
        <v>7</v>
      </c>
      <c r="B132" s="26" t="s">
        <v>253</v>
      </c>
      <c r="C132" s="26" t="s">
        <v>254</v>
      </c>
      <c r="D132" s="25" t="s">
        <v>11</v>
      </c>
      <c r="E132" s="25" t="s">
        <v>9</v>
      </c>
      <c r="F132" s="27">
        <v>0</v>
      </c>
      <c r="G132" s="28">
        <v>46330</v>
      </c>
      <c r="H132" s="28">
        <v>46330</v>
      </c>
      <c r="I132" s="29">
        <f>NETWORKDAYS(G132,H132)</f>
      </c>
      <c r="J132" s="28"/>
      <c r="K132" s="28"/>
      <c r="L132" s="29">
        <f>IF(OR(J132="",K132=""),"",NETWORKDAYS(J132,K132))</f>
      </c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5" customHeight="1" spans="1:40" x14ac:dyDescent="0.25">
      <c r="A133" s="25">
        <v>8</v>
      </c>
      <c r="B133" s="26" t="s">
        <v>255</v>
      </c>
      <c r="C133" s="26" t="s">
        <v>256</v>
      </c>
      <c r="D133" s="25" t="s">
        <v>10</v>
      </c>
      <c r="E133" s="25" t="s">
        <v>8</v>
      </c>
      <c r="F133" s="27">
        <v>0</v>
      </c>
      <c r="G133" s="28">
        <v>46331</v>
      </c>
      <c r="H133" s="28">
        <v>46331</v>
      </c>
      <c r="I133" s="29">
        <f>NETWORKDAYS(G133,H133)</f>
      </c>
      <c r="J133" s="28"/>
      <c r="K133" s="28"/>
      <c r="L133" s="29">
        <f>IF(OR(J133="",K133=""),"",NETWORKDAYS(J133,K133))</f>
      </c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5" customHeight="1" spans="1:40" x14ac:dyDescent="0.25">
      <c r="A134" s="25">
        <v>9</v>
      </c>
      <c r="B134" s="26" t="s">
        <v>257</v>
      </c>
      <c r="C134" s="26" t="s">
        <v>258</v>
      </c>
      <c r="D134" s="25" t="s">
        <v>11</v>
      </c>
      <c r="E134" s="25" t="s">
        <v>9</v>
      </c>
      <c r="F134" s="27">
        <v>0</v>
      </c>
      <c r="G134" s="28">
        <v>46331</v>
      </c>
      <c r="H134" s="28">
        <v>46331</v>
      </c>
      <c r="I134" s="29">
        <f>NETWORKDAYS(G134,H134)</f>
      </c>
      <c r="J134" s="28"/>
      <c r="K134" s="28"/>
      <c r="L134" s="29">
        <f>IF(OR(J134="",K134=""),"",NETWORKDAYS(J134,K134))</f>
      </c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5" customHeight="1" spans="1:40" x14ac:dyDescent="0.25">
      <c r="A135" s="25">
        <v>10</v>
      </c>
      <c r="B135" s="26" t="s">
        <v>259</v>
      </c>
      <c r="C135" s="26" t="s">
        <v>260</v>
      </c>
      <c r="D135" s="25" t="s">
        <v>11</v>
      </c>
      <c r="E135" s="25" t="s">
        <v>9</v>
      </c>
      <c r="F135" s="27">
        <v>0</v>
      </c>
      <c r="G135" s="28">
        <v>46331</v>
      </c>
      <c r="H135" s="28">
        <v>46331</v>
      </c>
      <c r="I135" s="29">
        <f>NETWORKDAYS(G135,H135)</f>
      </c>
      <c r="J135" s="28"/>
      <c r="K135" s="28"/>
      <c r="L135" s="29">
        <f>IF(OR(J135="",K135=""),"",NETWORKDAYS(J135,K135))</f>
      </c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5" customHeight="1" spans="1:40" x14ac:dyDescent="0.25">
      <c r="A136" s="25">
        <v>11</v>
      </c>
      <c r="B136" s="26" t="s">
        <v>261</v>
      </c>
      <c r="C136" s="26" t="s">
        <v>262</v>
      </c>
      <c r="D136" s="25" t="s">
        <v>10</v>
      </c>
      <c r="E136" s="25" t="s">
        <v>8</v>
      </c>
      <c r="F136" s="27">
        <v>0</v>
      </c>
      <c r="G136" s="28">
        <v>46332</v>
      </c>
      <c r="H136" s="28">
        <v>46332</v>
      </c>
      <c r="I136" s="29">
        <f>NETWORKDAYS(G136,H136)</f>
      </c>
      <c r="J136" s="28"/>
      <c r="K136" s="28"/>
      <c r="L136" s="29">
        <f>IF(OR(J136="",K136=""),"",NETWORKDAYS(J136,K136))</f>
      </c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5" customHeight="1" spans="1:40" x14ac:dyDescent="0.25">
      <c r="A137" s="25">
        <v>12</v>
      </c>
      <c r="B137" s="26" t="s">
        <v>263</v>
      </c>
      <c r="C137" s="26" t="s">
        <v>264</v>
      </c>
      <c r="D137" s="25" t="s">
        <v>10</v>
      </c>
      <c r="E137" s="25" t="s">
        <v>8</v>
      </c>
      <c r="F137" s="27">
        <v>0</v>
      </c>
      <c r="G137" s="28">
        <v>46332</v>
      </c>
      <c r="H137" s="28">
        <v>46332</v>
      </c>
      <c r="I137" s="29">
        <f>NETWORKDAYS(G137,H137)</f>
      </c>
      <c r="J137" s="28"/>
      <c r="K137" s="28"/>
      <c r="L137" s="29">
        <f>IF(OR(J137="",K137=""),"",NETWORKDAYS(J137,K137))</f>
      </c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5" customHeight="1" spans="1:40" x14ac:dyDescent="0.25">
      <c r="A138" s="25">
        <v>13</v>
      </c>
      <c r="B138" s="26" t="s">
        <v>265</v>
      </c>
      <c r="C138" s="26" t="s">
        <v>266</v>
      </c>
      <c r="D138" s="25" t="s">
        <v>11</v>
      </c>
      <c r="E138" s="25" t="s">
        <v>9</v>
      </c>
      <c r="F138" s="27">
        <v>0</v>
      </c>
      <c r="G138" s="28">
        <v>46332</v>
      </c>
      <c r="H138" s="28">
        <v>46332</v>
      </c>
      <c r="I138" s="29">
        <f>NETWORKDAYS(G138,H138)</f>
      </c>
      <c r="J138" s="28"/>
      <c r="K138" s="28"/>
      <c r="L138" s="29">
        <f>IF(OR(J138="",K138=""),"",NETWORKDAYS(J138,K138))</f>
      </c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5" customHeight="1" spans="1:40" x14ac:dyDescent="0.25">
      <c r="A139" s="25">
        <v>14</v>
      </c>
      <c r="B139" s="26" t="s">
        <v>267</v>
      </c>
      <c r="C139" s="26" t="s">
        <v>268</v>
      </c>
      <c r="D139" s="25" t="s">
        <v>10</v>
      </c>
      <c r="E139" s="25" t="s">
        <v>8</v>
      </c>
      <c r="F139" s="27">
        <v>0</v>
      </c>
      <c r="G139" s="28">
        <v>46335</v>
      </c>
      <c r="H139" s="28">
        <v>46335</v>
      </c>
      <c r="I139" s="29">
        <f>NETWORKDAYS(G139,H139)</f>
      </c>
      <c r="J139" s="28"/>
      <c r="K139" s="28"/>
      <c r="L139" s="29">
        <f>IF(OR(J139="",K139=""),"",NETWORKDAYS(J139,K139))</f>
      </c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5" customHeight="1" spans="1:40" x14ac:dyDescent="0.25">
      <c r="A140" s="25">
        <v>15</v>
      </c>
      <c r="B140" s="26" t="s">
        <v>269</v>
      </c>
      <c r="C140" s="26" t="s">
        <v>270</v>
      </c>
      <c r="D140" s="25" t="s">
        <v>10</v>
      </c>
      <c r="E140" s="25" t="s">
        <v>8</v>
      </c>
      <c r="F140" s="27">
        <v>0</v>
      </c>
      <c r="G140" s="28">
        <v>46335</v>
      </c>
      <c r="H140" s="28">
        <v>46335</v>
      </c>
      <c r="I140" s="29">
        <f>NETWORKDAYS(G140,H140)</f>
      </c>
      <c r="J140" s="28"/>
      <c r="K140" s="28"/>
      <c r="L140" s="29">
        <f>IF(OR(J140="",K140=""),"",NETWORKDAYS(J140,K140))</f>
      </c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5" customHeight="1" spans="1:40" x14ac:dyDescent="0.25">
      <c r="A141" s="25">
        <v>16</v>
      </c>
      <c r="B141" s="26" t="s">
        <v>271</v>
      </c>
      <c r="C141" s="26" t="s">
        <v>272</v>
      </c>
      <c r="D141" s="25" t="s">
        <v>10</v>
      </c>
      <c r="E141" s="25" t="s">
        <v>8</v>
      </c>
      <c r="F141" s="27">
        <v>0</v>
      </c>
      <c r="G141" s="28">
        <v>46336</v>
      </c>
      <c r="H141" s="28">
        <v>46336</v>
      </c>
      <c r="I141" s="29">
        <f>NETWORKDAYS(G141,H141)</f>
      </c>
      <c r="J141" s="28"/>
      <c r="K141" s="28"/>
      <c r="L141" s="29">
        <f>IF(OR(J141="",K141=""),"",NETWORKDAYS(J141,K141))</f>
      </c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5" customHeight="1" spans="1:40" x14ac:dyDescent="0.25">
      <c r="A142" s="25">
        <v>17</v>
      </c>
      <c r="B142" s="26" t="s">
        <v>273</v>
      </c>
      <c r="C142" s="26" t="s">
        <v>274</v>
      </c>
      <c r="D142" s="25" t="s">
        <v>10</v>
      </c>
      <c r="E142" s="25" t="s">
        <v>8</v>
      </c>
      <c r="F142" s="27">
        <v>0</v>
      </c>
      <c r="G142" s="28">
        <v>46336</v>
      </c>
      <c r="H142" s="28">
        <v>46336</v>
      </c>
      <c r="I142" s="29">
        <f>NETWORKDAYS(G142,H142)</f>
      </c>
      <c r="J142" s="28"/>
      <c r="K142" s="28"/>
      <c r="L142" s="29">
        <f>IF(OR(J142="",K142=""),"",NETWORKDAYS(J142,K142))</f>
      </c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spans="1:40" x14ac:dyDescent="0.25">
      <c r="A143" s="31">
        <v>6</v>
      </c>
      <c r="B143" s="32" t="s">
        <v>275</v>
      </c>
      <c r="C143" s="33" t="s">
        <v>28</v>
      </c>
      <c r="D143" s="33" t="s">
        <v>28</v>
      </c>
      <c r="E143" s="33" t="s">
        <v>28</v>
      </c>
      <c r="F143" s="34">
        <f>AVERAGE(F144:F161)</f>
      </c>
      <c r="G143" s="35">
        <f>MIN(G144:G161)</f>
      </c>
      <c r="H143" s="35">
        <f>MAX(H144:H161)</f>
      </c>
      <c r="I143" s="31">
        <f>NETWORKDAYS(G143,H143)</f>
      </c>
      <c r="J143" s="35">
        <f>IF(COUNT(J144:J161)=0,"",MIN(J144:J161))</f>
      </c>
      <c r="K143" s="35">
        <f>IF(COUNT(K144:K161)=0,"",MAX(K144:K161))</f>
      </c>
      <c r="L143" s="31">
        <f>IF(OR(J143="",K143=""),"",NETWORKDAYS(J143,K143))</f>
      </c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" customHeight="1" spans="1:40" x14ac:dyDescent="0.25">
      <c r="A144" s="25">
        <v>1</v>
      </c>
      <c r="B144" s="26" t="s">
        <v>276</v>
      </c>
      <c r="C144" s="26" t="s">
        <v>277</v>
      </c>
      <c r="D144" s="25" t="s">
        <v>9</v>
      </c>
      <c r="E144" s="25" t="s">
        <v>11</v>
      </c>
      <c r="F144" s="27">
        <v>0</v>
      </c>
      <c r="G144" s="28">
        <v>46329</v>
      </c>
      <c r="H144" s="28">
        <v>46329</v>
      </c>
      <c r="I144" s="29">
        <f>NETWORKDAYS(G144,H144)</f>
      </c>
      <c r="J144" s="28"/>
      <c r="K144" s="28"/>
      <c r="L144" s="29">
        <f>IF(OR(J144="",K144=""),"",NETWORKDAYS(J144,K144))</f>
      </c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5" customHeight="1" spans="1:40" x14ac:dyDescent="0.25">
      <c r="A145" s="25">
        <v>2</v>
      </c>
      <c r="B145" s="26" t="s">
        <v>278</v>
      </c>
      <c r="C145" s="26" t="s">
        <v>279</v>
      </c>
      <c r="D145" s="25" t="s">
        <v>9</v>
      </c>
      <c r="E145" s="25" t="s">
        <v>11</v>
      </c>
      <c r="F145" s="27">
        <v>0</v>
      </c>
      <c r="G145" s="28">
        <v>46329</v>
      </c>
      <c r="H145" s="28">
        <v>46329</v>
      </c>
      <c r="I145" s="29">
        <f>NETWORKDAYS(G145,H145)</f>
      </c>
      <c r="J145" s="28"/>
      <c r="K145" s="28"/>
      <c r="L145" s="29">
        <f>IF(OR(J145="",K145=""),"",NETWORKDAYS(J145,K145))</f>
      </c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5" customHeight="1" spans="1:40" x14ac:dyDescent="0.25">
      <c r="A146" s="25">
        <v>3</v>
      </c>
      <c r="B146" s="26" t="s">
        <v>280</v>
      </c>
      <c r="C146" s="26" t="s">
        <v>281</v>
      </c>
      <c r="D146" s="25" t="s">
        <v>9</v>
      </c>
      <c r="E146" s="25" t="s">
        <v>11</v>
      </c>
      <c r="F146" s="27">
        <v>0</v>
      </c>
      <c r="G146" s="28">
        <v>46329</v>
      </c>
      <c r="H146" s="28">
        <v>46329</v>
      </c>
      <c r="I146" s="29">
        <f>NETWORKDAYS(G146,H146)</f>
      </c>
      <c r="J146" s="28"/>
      <c r="K146" s="28"/>
      <c r="L146" s="29">
        <f>IF(OR(J146="",K146=""),"",NETWORKDAYS(J146,K146))</f>
      </c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5" customHeight="1" spans="1:40" x14ac:dyDescent="0.25">
      <c r="A147" s="25">
        <v>4</v>
      </c>
      <c r="B147" s="26" t="s">
        <v>282</v>
      </c>
      <c r="C147" s="26" t="s">
        <v>283</v>
      </c>
      <c r="D147" s="25" t="s">
        <v>9</v>
      </c>
      <c r="E147" s="25" t="s">
        <v>11</v>
      </c>
      <c r="F147" s="27">
        <v>0</v>
      </c>
      <c r="G147" s="28">
        <v>46329</v>
      </c>
      <c r="H147" s="28">
        <v>46329</v>
      </c>
      <c r="I147" s="29">
        <f>NETWORKDAYS(G147,H147)</f>
      </c>
      <c r="J147" s="28"/>
      <c r="K147" s="28"/>
      <c r="L147" s="29">
        <f>IF(OR(J147="",K147=""),"",NETWORKDAYS(J147,K147))</f>
      </c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5" customHeight="1" spans="1:40" x14ac:dyDescent="0.25">
      <c r="A148" s="25">
        <v>5</v>
      </c>
      <c r="B148" s="26" t="s">
        <v>284</v>
      </c>
      <c r="C148" s="26" t="s">
        <v>285</v>
      </c>
      <c r="D148" s="25" t="s">
        <v>10</v>
      </c>
      <c r="E148" s="25" t="s">
        <v>8</v>
      </c>
      <c r="F148" s="27">
        <v>0</v>
      </c>
      <c r="G148" s="28">
        <v>46329</v>
      </c>
      <c r="H148" s="28">
        <v>46329</v>
      </c>
      <c r="I148" s="29">
        <f>NETWORKDAYS(G148,H148)</f>
      </c>
      <c r="J148" s="28"/>
      <c r="K148" s="28"/>
      <c r="L148" s="29">
        <f>IF(OR(J148="",K148=""),"",NETWORKDAYS(J148,K148))</f>
      </c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5" customHeight="1" spans="1:40" x14ac:dyDescent="0.25">
      <c r="A149" s="25">
        <v>6</v>
      </c>
      <c r="B149" s="26" t="s">
        <v>286</v>
      </c>
      <c r="C149" s="26" t="s">
        <v>287</v>
      </c>
      <c r="D149" s="25" t="s">
        <v>10</v>
      </c>
      <c r="E149" s="25" t="s">
        <v>8</v>
      </c>
      <c r="F149" s="27">
        <v>0</v>
      </c>
      <c r="G149" s="28">
        <v>46329</v>
      </c>
      <c r="H149" s="28">
        <v>46329</v>
      </c>
      <c r="I149" s="29">
        <f>NETWORKDAYS(G149,H149)</f>
      </c>
      <c r="J149" s="28"/>
      <c r="K149" s="28"/>
      <c r="L149" s="29">
        <f>IF(OR(J149="",K149=""),"",NETWORKDAYS(J149,K149))</f>
      </c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5" customHeight="1" spans="1:40" x14ac:dyDescent="0.25">
      <c r="A150" s="25">
        <v>7</v>
      </c>
      <c r="B150" s="26" t="s">
        <v>288</v>
      </c>
      <c r="C150" s="26" t="s">
        <v>289</v>
      </c>
      <c r="D150" s="25" t="s">
        <v>9</v>
      </c>
      <c r="E150" s="25" t="s">
        <v>11</v>
      </c>
      <c r="F150" s="27">
        <v>0</v>
      </c>
      <c r="G150" s="28">
        <v>46330</v>
      </c>
      <c r="H150" s="28">
        <v>46330</v>
      </c>
      <c r="I150" s="29">
        <f>NETWORKDAYS(G150,H150)</f>
      </c>
      <c r="J150" s="28"/>
      <c r="K150" s="28"/>
      <c r="L150" s="29">
        <f>IF(OR(J150="",K150=""),"",NETWORKDAYS(J150,K150))</f>
      </c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5" customHeight="1" spans="1:40" x14ac:dyDescent="0.25">
      <c r="A151" s="25">
        <v>8</v>
      </c>
      <c r="B151" s="26" t="s">
        <v>290</v>
      </c>
      <c r="C151" s="26" t="s">
        <v>291</v>
      </c>
      <c r="D151" s="25" t="s">
        <v>9</v>
      </c>
      <c r="E151" s="25" t="s">
        <v>11</v>
      </c>
      <c r="F151" s="27">
        <v>0</v>
      </c>
      <c r="G151" s="28">
        <v>46330</v>
      </c>
      <c r="H151" s="28">
        <v>46330</v>
      </c>
      <c r="I151" s="29">
        <f>NETWORKDAYS(G151,H151)</f>
      </c>
      <c r="J151" s="28"/>
      <c r="K151" s="28"/>
      <c r="L151" s="29">
        <f>IF(OR(J151="",K151=""),"",NETWORKDAYS(J151,K151))</f>
      </c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5" customHeight="1" spans="1:40" x14ac:dyDescent="0.25">
      <c r="A152" s="25">
        <v>9</v>
      </c>
      <c r="B152" s="26" t="s">
        <v>292</v>
      </c>
      <c r="C152" s="26" t="s">
        <v>283</v>
      </c>
      <c r="D152" s="25" t="s">
        <v>9</v>
      </c>
      <c r="E152" s="25" t="s">
        <v>11</v>
      </c>
      <c r="F152" s="27">
        <v>0</v>
      </c>
      <c r="G152" s="28">
        <v>46330</v>
      </c>
      <c r="H152" s="28">
        <v>46330</v>
      </c>
      <c r="I152" s="29">
        <f>NETWORKDAYS(G152,H152)</f>
      </c>
      <c r="J152" s="28"/>
      <c r="K152" s="28"/>
      <c r="L152" s="29">
        <f>IF(OR(J152="",K152=""),"",NETWORKDAYS(J152,K152))</f>
      </c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5" customHeight="1" spans="1:40" x14ac:dyDescent="0.25">
      <c r="A153" s="25">
        <v>10</v>
      </c>
      <c r="B153" s="26" t="s">
        <v>293</v>
      </c>
      <c r="C153" s="26" t="s">
        <v>294</v>
      </c>
      <c r="D153" s="25" t="s">
        <v>10</v>
      </c>
      <c r="E153" s="25" t="s">
        <v>8</v>
      </c>
      <c r="F153" s="27">
        <v>0</v>
      </c>
      <c r="G153" s="28">
        <v>46330</v>
      </c>
      <c r="H153" s="28">
        <v>46330</v>
      </c>
      <c r="I153" s="29">
        <f>NETWORKDAYS(G153,H153)</f>
      </c>
      <c r="J153" s="28"/>
      <c r="K153" s="28"/>
      <c r="L153" s="29">
        <f>IF(OR(J153="",K153=""),"",NETWORKDAYS(J153,K153))</f>
      </c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5" customHeight="1" spans="1:40" x14ac:dyDescent="0.25">
      <c r="A154" s="25">
        <v>11</v>
      </c>
      <c r="B154" s="26" t="s">
        <v>295</v>
      </c>
      <c r="C154" s="26" t="s">
        <v>296</v>
      </c>
      <c r="D154" s="25" t="s">
        <v>10</v>
      </c>
      <c r="E154" s="25" t="s">
        <v>8</v>
      </c>
      <c r="F154" s="27">
        <v>0</v>
      </c>
      <c r="G154" s="28">
        <v>46330</v>
      </c>
      <c r="H154" s="28">
        <v>46330</v>
      </c>
      <c r="I154" s="29">
        <f>NETWORKDAYS(G154,H154)</f>
      </c>
      <c r="J154" s="28"/>
      <c r="K154" s="28"/>
      <c r="L154" s="29">
        <f>IF(OR(J154="",K154=""),"",NETWORKDAYS(J154,K154))</f>
      </c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5" customHeight="1" spans="1:40" x14ac:dyDescent="0.25">
      <c r="A155" s="25">
        <v>12</v>
      </c>
      <c r="B155" s="26" t="s">
        <v>297</v>
      </c>
      <c r="C155" s="26" t="s">
        <v>298</v>
      </c>
      <c r="D155" s="25" t="s">
        <v>10</v>
      </c>
      <c r="E155" s="25" t="s">
        <v>8</v>
      </c>
      <c r="F155" s="27">
        <v>0</v>
      </c>
      <c r="G155" s="28">
        <v>46330</v>
      </c>
      <c r="H155" s="28">
        <v>46330</v>
      </c>
      <c r="I155" s="29">
        <f>NETWORKDAYS(G155,H155)</f>
      </c>
      <c r="J155" s="28"/>
      <c r="K155" s="28"/>
      <c r="L155" s="29">
        <f>IF(OR(J155="",K155=""),"",NETWORKDAYS(J155,K155))</f>
      </c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5" customHeight="1" spans="1:40" x14ac:dyDescent="0.25">
      <c r="A156" s="25">
        <v>13</v>
      </c>
      <c r="B156" s="26" t="s">
        <v>299</v>
      </c>
      <c r="C156" s="26" t="s">
        <v>300</v>
      </c>
      <c r="D156" s="25" t="s">
        <v>9</v>
      </c>
      <c r="E156" s="25" t="s">
        <v>11</v>
      </c>
      <c r="F156" s="27">
        <v>0</v>
      </c>
      <c r="G156" s="28">
        <v>46331</v>
      </c>
      <c r="H156" s="28">
        <v>46331</v>
      </c>
      <c r="I156" s="29">
        <f>NETWORKDAYS(G156,H156)</f>
      </c>
      <c r="J156" s="28"/>
      <c r="K156" s="28"/>
      <c r="L156" s="29">
        <f>IF(OR(J156="",K156=""),"",NETWORKDAYS(J156,K156))</f>
      </c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5" customHeight="1" spans="1:40" x14ac:dyDescent="0.25">
      <c r="A157" s="25">
        <v>14</v>
      </c>
      <c r="B157" s="26" t="s">
        <v>301</v>
      </c>
      <c r="C157" s="26" t="s">
        <v>302</v>
      </c>
      <c r="D157" s="25" t="s">
        <v>9</v>
      </c>
      <c r="E157" s="25" t="s">
        <v>11</v>
      </c>
      <c r="F157" s="27">
        <v>0</v>
      </c>
      <c r="G157" s="28">
        <v>46331</v>
      </c>
      <c r="H157" s="28">
        <v>46331</v>
      </c>
      <c r="I157" s="29">
        <f>NETWORKDAYS(G157,H157)</f>
      </c>
      <c r="J157" s="28"/>
      <c r="K157" s="28"/>
      <c r="L157" s="29">
        <f>IF(OR(J157="",K157=""),"",NETWORKDAYS(J157,K157))</f>
      </c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5" customHeight="1" spans="1:40" x14ac:dyDescent="0.25">
      <c r="A158" s="25">
        <v>15</v>
      </c>
      <c r="B158" s="26" t="s">
        <v>303</v>
      </c>
      <c r="C158" s="26" t="s">
        <v>283</v>
      </c>
      <c r="D158" s="25" t="s">
        <v>9</v>
      </c>
      <c r="E158" s="25" t="s">
        <v>11</v>
      </c>
      <c r="F158" s="27">
        <v>0</v>
      </c>
      <c r="G158" s="28">
        <v>46331</v>
      </c>
      <c r="H158" s="28">
        <v>46331</v>
      </c>
      <c r="I158" s="29">
        <f>NETWORKDAYS(G158,H158)</f>
      </c>
      <c r="J158" s="28"/>
      <c r="K158" s="28"/>
      <c r="L158" s="29">
        <f>IF(OR(J158="",K158=""),"",NETWORKDAYS(J158,K158))</f>
      </c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5" customHeight="1" spans="1:40" x14ac:dyDescent="0.25">
      <c r="A159" s="25">
        <v>16</v>
      </c>
      <c r="B159" s="26" t="s">
        <v>304</v>
      </c>
      <c r="C159" s="26" t="s">
        <v>305</v>
      </c>
      <c r="D159" s="25" t="s">
        <v>10</v>
      </c>
      <c r="E159" s="25" t="s">
        <v>8</v>
      </c>
      <c r="F159" s="27">
        <v>0</v>
      </c>
      <c r="G159" s="28">
        <v>46331</v>
      </c>
      <c r="H159" s="28">
        <v>46331</v>
      </c>
      <c r="I159" s="29">
        <f>NETWORKDAYS(G159,H159)</f>
      </c>
      <c r="J159" s="28"/>
      <c r="K159" s="28"/>
      <c r="L159" s="29">
        <f>IF(OR(J159="",K159=""),"",NETWORKDAYS(J159,K159))</f>
      </c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5" customHeight="1" spans="1:40" x14ac:dyDescent="0.25">
      <c r="A160" s="25">
        <v>17</v>
      </c>
      <c r="B160" s="26" t="s">
        <v>306</v>
      </c>
      <c r="C160" s="26" t="s">
        <v>283</v>
      </c>
      <c r="D160" s="25" t="s">
        <v>9</v>
      </c>
      <c r="E160" s="25" t="s">
        <v>11</v>
      </c>
      <c r="F160" s="27">
        <v>0</v>
      </c>
      <c r="G160" s="28">
        <v>46332</v>
      </c>
      <c r="H160" s="28">
        <v>46332</v>
      </c>
      <c r="I160" s="29">
        <f>NETWORKDAYS(G160,H160)</f>
      </c>
      <c r="J160" s="28"/>
      <c r="K160" s="28"/>
      <c r="L160" s="29">
        <f>IF(OR(J160="",K160=""),"",NETWORKDAYS(J160,K160))</f>
      </c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5" customHeight="1" spans="1:40" x14ac:dyDescent="0.25">
      <c r="A161" s="25">
        <v>18</v>
      </c>
      <c r="B161" s="26" t="s">
        <v>307</v>
      </c>
      <c r="C161" s="26" t="s">
        <v>308</v>
      </c>
      <c r="D161" s="25" t="s">
        <v>9</v>
      </c>
      <c r="E161" s="25" t="s">
        <v>11</v>
      </c>
      <c r="F161" s="27">
        <v>0</v>
      </c>
      <c r="G161" s="28">
        <v>46332</v>
      </c>
      <c r="H161" s="28">
        <v>46332</v>
      </c>
      <c r="I161" s="29">
        <f>NETWORKDAYS(G161,H161)</f>
      </c>
      <c r="J161" s="28"/>
      <c r="K161" s="28"/>
      <c r="L161" s="29">
        <f>IF(OR(J161="",K161=""),"",NETWORKDAYS(J161,K161))</f>
      </c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spans="1:40" x14ac:dyDescent="0.25">
      <c r="A162" s="19" t="s">
        <v>309</v>
      </c>
      <c r="B162" s="20" t="s">
        <v>310</v>
      </c>
      <c r="C162" s="21" t="s">
        <v>28</v>
      </c>
      <c r="D162" s="21" t="s">
        <v>28</v>
      </c>
      <c r="E162" s="21" t="s">
        <v>28</v>
      </c>
      <c r="F162" s="22">
        <f>AVERAGE(F163:F197)</f>
      </c>
      <c r="G162" s="23">
        <f>MIN(G163:G197)</f>
      </c>
      <c r="H162" s="23">
        <f>MAX(H163:H197)</f>
      </c>
      <c r="I162" s="19">
        <f>NETWORKDAYS(G162,H162)</f>
      </c>
      <c r="J162" s="23">
        <f>IF(COUNT(J163:J197)=0,"",MIN(J163:J197))</f>
      </c>
      <c r="K162" s="23">
        <f>IF(COUNT(K163:K197)=0,"",MAX(K163:K197))</f>
      </c>
      <c r="L162" s="19">
        <f>IF(OR(J162="",K162=""),"",NETWORKDAYS(J162,K162))</f>
      </c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</row>
    <row r="163" ht="15" customHeight="1" spans="1:40" x14ac:dyDescent="0.25">
      <c r="A163" s="25">
        <v>1</v>
      </c>
      <c r="B163" s="26" t="s">
        <v>311</v>
      </c>
      <c r="C163" s="26" t="s">
        <v>312</v>
      </c>
      <c r="D163" s="25" t="s">
        <v>8</v>
      </c>
      <c r="E163" s="25" t="s">
        <v>9</v>
      </c>
      <c r="F163" s="27">
        <v>0</v>
      </c>
      <c r="G163" s="28">
        <v>46323</v>
      </c>
      <c r="H163" s="28">
        <v>46323</v>
      </c>
      <c r="I163" s="29">
        <f>NETWORKDAYS(G163,H163)</f>
      </c>
      <c r="J163" s="28"/>
      <c r="K163" s="28"/>
      <c r="L163" s="29">
        <f>IF(OR(J163="",K163=""),"",NETWORKDAYS(J163,K163))</f>
      </c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5" customHeight="1" spans="1:40" x14ac:dyDescent="0.25">
      <c r="A164" s="25">
        <v>2</v>
      </c>
      <c r="B164" s="26" t="s">
        <v>313</v>
      </c>
      <c r="C164" s="26" t="s">
        <v>314</v>
      </c>
      <c r="D164" s="25" t="s">
        <v>8</v>
      </c>
      <c r="E164" s="25" t="s">
        <v>9</v>
      </c>
      <c r="F164" s="27">
        <v>0</v>
      </c>
      <c r="G164" s="28">
        <v>46324</v>
      </c>
      <c r="H164" s="28">
        <v>46324</v>
      </c>
      <c r="I164" s="29">
        <f>NETWORKDAYS(G164,H164)</f>
      </c>
      <c r="J164" s="28"/>
      <c r="K164" s="28"/>
      <c r="L164" s="29">
        <f>IF(OR(J164="",K164=""),"",NETWORKDAYS(J164,K164))</f>
      </c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5" customHeight="1" spans="1:40" x14ac:dyDescent="0.25">
      <c r="A165" s="25">
        <v>3</v>
      </c>
      <c r="B165" s="26" t="s">
        <v>315</v>
      </c>
      <c r="C165" s="26" t="s">
        <v>316</v>
      </c>
      <c r="D165" s="25" t="s">
        <v>8</v>
      </c>
      <c r="E165" s="25" t="s">
        <v>9</v>
      </c>
      <c r="F165" s="27">
        <v>0</v>
      </c>
      <c r="G165" s="28">
        <v>46324</v>
      </c>
      <c r="H165" s="28">
        <v>46324</v>
      </c>
      <c r="I165" s="29">
        <f>NETWORKDAYS(G165,H165)</f>
      </c>
      <c r="J165" s="28"/>
      <c r="K165" s="28"/>
      <c r="L165" s="29">
        <f>IF(OR(J165="",K165=""),"",NETWORKDAYS(J165,K165))</f>
      </c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5" customHeight="1" spans="1:40" x14ac:dyDescent="0.25">
      <c r="A166" s="25">
        <v>4</v>
      </c>
      <c r="B166" s="26" t="s">
        <v>317</v>
      </c>
      <c r="C166" s="26" t="s">
        <v>318</v>
      </c>
      <c r="D166" s="25" t="s">
        <v>8</v>
      </c>
      <c r="E166" s="25" t="s">
        <v>9</v>
      </c>
      <c r="F166" s="27">
        <v>0</v>
      </c>
      <c r="G166" s="28">
        <v>46324</v>
      </c>
      <c r="H166" s="28">
        <v>46324</v>
      </c>
      <c r="I166" s="29">
        <f>NETWORKDAYS(G166,H166)</f>
      </c>
      <c r="J166" s="28"/>
      <c r="K166" s="28"/>
      <c r="L166" s="29">
        <f>IF(OR(J166="",K166=""),"",NETWORKDAYS(J166,K166))</f>
      </c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5" customHeight="1" spans="1:40" x14ac:dyDescent="0.25">
      <c r="A167" s="25">
        <v>5</v>
      </c>
      <c r="B167" s="26" t="s">
        <v>319</v>
      </c>
      <c r="C167" s="26" t="s">
        <v>320</v>
      </c>
      <c r="D167" s="25" t="s">
        <v>11</v>
      </c>
      <c r="E167" s="25" t="s">
        <v>9</v>
      </c>
      <c r="F167" s="27">
        <v>0</v>
      </c>
      <c r="G167" s="28">
        <v>46324</v>
      </c>
      <c r="H167" s="28">
        <v>46324</v>
      </c>
      <c r="I167" s="29">
        <f>NETWORKDAYS(G167,H167)</f>
      </c>
      <c r="J167" s="28"/>
      <c r="K167" s="28"/>
      <c r="L167" s="29">
        <f>IF(OR(J167="",K167=""),"",NETWORKDAYS(J167,K167))</f>
      </c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5" customHeight="1" spans="1:40" x14ac:dyDescent="0.25">
      <c r="A168" s="25">
        <v>6</v>
      </c>
      <c r="B168" s="26" t="s">
        <v>321</v>
      </c>
      <c r="C168" s="26" t="s">
        <v>322</v>
      </c>
      <c r="D168" s="25" t="s">
        <v>8</v>
      </c>
      <c r="E168" s="25" t="s">
        <v>9</v>
      </c>
      <c r="F168" s="27">
        <v>0</v>
      </c>
      <c r="G168" s="28">
        <v>46325</v>
      </c>
      <c r="H168" s="28">
        <v>46325</v>
      </c>
      <c r="I168" s="29">
        <f>NETWORKDAYS(G168,H168)</f>
      </c>
      <c r="J168" s="28"/>
      <c r="K168" s="28"/>
      <c r="L168" s="29">
        <f>IF(OR(J168="",K168=""),"",NETWORKDAYS(J168,K168))</f>
      </c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5" customHeight="1" spans="1:40" x14ac:dyDescent="0.25">
      <c r="A169" s="25">
        <v>7</v>
      </c>
      <c r="B169" s="26" t="s">
        <v>323</v>
      </c>
      <c r="C169" s="26" t="s">
        <v>324</v>
      </c>
      <c r="D169" s="25" t="s">
        <v>8</v>
      </c>
      <c r="E169" s="25" t="s">
        <v>9</v>
      </c>
      <c r="F169" s="27">
        <v>0</v>
      </c>
      <c r="G169" s="28">
        <v>46330</v>
      </c>
      <c r="H169" s="28">
        <v>46330</v>
      </c>
      <c r="I169" s="29">
        <f>NETWORKDAYS(G169,H169)</f>
      </c>
      <c r="J169" s="28"/>
      <c r="K169" s="28"/>
      <c r="L169" s="29">
        <f>IF(OR(J169="",K169=""),"",NETWORKDAYS(J169,K169))</f>
      </c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5" customHeight="1" spans="1:40" x14ac:dyDescent="0.25">
      <c r="A170" s="25">
        <v>8</v>
      </c>
      <c r="B170" s="26" t="s">
        <v>325</v>
      </c>
      <c r="C170" s="26" t="s">
        <v>326</v>
      </c>
      <c r="D170" s="25" t="s">
        <v>8</v>
      </c>
      <c r="E170" s="25" t="s">
        <v>9</v>
      </c>
      <c r="F170" s="27">
        <v>0</v>
      </c>
      <c r="G170" s="28">
        <v>46330</v>
      </c>
      <c r="H170" s="28">
        <v>46330</v>
      </c>
      <c r="I170" s="29">
        <f>NETWORKDAYS(G170,H170)</f>
      </c>
      <c r="J170" s="28"/>
      <c r="K170" s="28"/>
      <c r="L170" s="29">
        <f>IF(OR(J170="",K170=""),"",NETWORKDAYS(J170,K170))</f>
      </c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5" customHeight="1" spans="1:40" x14ac:dyDescent="0.25">
      <c r="A171" s="25">
        <v>9</v>
      </c>
      <c r="B171" s="26" t="s">
        <v>327</v>
      </c>
      <c r="C171" s="26" t="s">
        <v>328</v>
      </c>
      <c r="D171" s="25" t="s">
        <v>8</v>
      </c>
      <c r="E171" s="25" t="s">
        <v>9</v>
      </c>
      <c r="F171" s="27">
        <v>0</v>
      </c>
      <c r="G171" s="28">
        <v>46331</v>
      </c>
      <c r="H171" s="28">
        <v>46331</v>
      </c>
      <c r="I171" s="29">
        <f>NETWORKDAYS(G171,H171)</f>
      </c>
      <c r="J171" s="28"/>
      <c r="K171" s="28"/>
      <c r="L171" s="29">
        <f>IF(OR(J171="",K171=""),"",NETWORKDAYS(J171,K171))</f>
      </c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5" customHeight="1" spans="1:40" x14ac:dyDescent="0.25">
      <c r="A172" s="25">
        <v>10</v>
      </c>
      <c r="B172" s="26" t="s">
        <v>329</v>
      </c>
      <c r="C172" s="26" t="s">
        <v>330</v>
      </c>
      <c r="D172" s="25" t="s">
        <v>8</v>
      </c>
      <c r="E172" s="25" t="s">
        <v>9</v>
      </c>
      <c r="F172" s="27">
        <v>0</v>
      </c>
      <c r="G172" s="28">
        <v>46331</v>
      </c>
      <c r="H172" s="28">
        <v>46331</v>
      </c>
      <c r="I172" s="29">
        <f>NETWORKDAYS(G172,H172)</f>
      </c>
      <c r="J172" s="28"/>
      <c r="K172" s="28"/>
      <c r="L172" s="29">
        <f>IF(OR(J172="",K172=""),"",NETWORKDAYS(J172,K172))</f>
      </c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5" customHeight="1" spans="1:40" x14ac:dyDescent="0.25">
      <c r="A173" s="25">
        <v>11</v>
      </c>
      <c r="B173" s="26" t="s">
        <v>331</v>
      </c>
      <c r="C173" s="26" t="s">
        <v>332</v>
      </c>
      <c r="D173" s="25" t="s">
        <v>8</v>
      </c>
      <c r="E173" s="25" t="s">
        <v>9</v>
      </c>
      <c r="F173" s="27">
        <v>0</v>
      </c>
      <c r="G173" s="28">
        <v>46332</v>
      </c>
      <c r="H173" s="28">
        <v>46332</v>
      </c>
      <c r="I173" s="29">
        <f>NETWORKDAYS(G173,H173)</f>
      </c>
      <c r="J173" s="28"/>
      <c r="K173" s="28"/>
      <c r="L173" s="29">
        <f>IF(OR(J173="",K173=""),"",NETWORKDAYS(J173,K173))</f>
      </c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5" customHeight="1" spans="1:40" x14ac:dyDescent="0.25">
      <c r="A174" s="25">
        <v>12</v>
      </c>
      <c r="B174" s="26" t="s">
        <v>333</v>
      </c>
      <c r="C174" s="26" t="s">
        <v>334</v>
      </c>
      <c r="D174" s="25" t="s">
        <v>11</v>
      </c>
      <c r="E174" s="25" t="s">
        <v>9</v>
      </c>
      <c r="F174" s="27">
        <v>0</v>
      </c>
      <c r="G174" s="28">
        <v>46332</v>
      </c>
      <c r="H174" s="28">
        <v>46332</v>
      </c>
      <c r="I174" s="29">
        <f>NETWORKDAYS(G174,H174)</f>
      </c>
      <c r="J174" s="28"/>
      <c r="K174" s="28"/>
      <c r="L174" s="29">
        <f>IF(OR(J174="",K174=""),"",NETWORKDAYS(J174,K174))</f>
      </c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5" customHeight="1" spans="1:40" x14ac:dyDescent="0.25">
      <c r="A175" s="25">
        <v>13</v>
      </c>
      <c r="B175" s="26" t="s">
        <v>335</v>
      </c>
      <c r="C175" s="26" t="s">
        <v>336</v>
      </c>
      <c r="D175" s="25" t="s">
        <v>9</v>
      </c>
      <c r="E175" s="25" t="s">
        <v>11</v>
      </c>
      <c r="F175" s="27">
        <v>0</v>
      </c>
      <c r="G175" s="28">
        <v>46335</v>
      </c>
      <c r="H175" s="28">
        <v>46335</v>
      </c>
      <c r="I175" s="29">
        <f>NETWORKDAYS(G175,H175)</f>
      </c>
      <c r="J175" s="28"/>
      <c r="K175" s="28"/>
      <c r="L175" s="29">
        <f>IF(OR(J175="",K175=""),"",NETWORKDAYS(J175,K175))</f>
      </c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5" customHeight="1" spans="1:40" x14ac:dyDescent="0.25">
      <c r="A176" s="25">
        <v>14</v>
      </c>
      <c r="B176" s="26" t="s">
        <v>337</v>
      </c>
      <c r="C176" s="26" t="s">
        <v>338</v>
      </c>
      <c r="D176" s="25" t="s">
        <v>9</v>
      </c>
      <c r="E176" s="25" t="s">
        <v>11</v>
      </c>
      <c r="F176" s="27">
        <v>0</v>
      </c>
      <c r="G176" s="28">
        <v>46335</v>
      </c>
      <c r="H176" s="28">
        <v>46335</v>
      </c>
      <c r="I176" s="29">
        <f>NETWORKDAYS(G176,H176)</f>
      </c>
      <c r="J176" s="28"/>
      <c r="K176" s="28"/>
      <c r="L176" s="29">
        <f>IF(OR(J176="",K176=""),"",NETWORKDAYS(J176,K176))</f>
      </c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5" customHeight="1" spans="1:40" x14ac:dyDescent="0.25">
      <c r="A177" s="25">
        <v>15</v>
      </c>
      <c r="B177" s="26" t="s">
        <v>339</v>
      </c>
      <c r="C177" s="26" t="s">
        <v>340</v>
      </c>
      <c r="D177" s="25" t="s">
        <v>9</v>
      </c>
      <c r="E177" s="25" t="s">
        <v>11</v>
      </c>
      <c r="F177" s="27">
        <v>0</v>
      </c>
      <c r="G177" s="28">
        <v>46335</v>
      </c>
      <c r="H177" s="28">
        <v>46335</v>
      </c>
      <c r="I177" s="29">
        <f>NETWORKDAYS(G177,H177)</f>
      </c>
      <c r="J177" s="28"/>
      <c r="K177" s="28"/>
      <c r="L177" s="29">
        <f>IF(OR(J177="",K177=""),"",NETWORKDAYS(J177,K177))</f>
      </c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5" customHeight="1" spans="1:40" x14ac:dyDescent="0.25">
      <c r="A178" s="25">
        <v>16</v>
      </c>
      <c r="B178" s="26" t="s">
        <v>341</v>
      </c>
      <c r="C178" s="26" t="s">
        <v>342</v>
      </c>
      <c r="D178" s="25" t="s">
        <v>9</v>
      </c>
      <c r="E178" s="25" t="s">
        <v>11</v>
      </c>
      <c r="F178" s="27">
        <v>0</v>
      </c>
      <c r="G178" s="28">
        <v>46336</v>
      </c>
      <c r="H178" s="28">
        <v>46336</v>
      </c>
      <c r="I178" s="29">
        <f>NETWORKDAYS(G178,H178)</f>
      </c>
      <c r="J178" s="28"/>
      <c r="K178" s="28"/>
      <c r="L178" s="29">
        <f>IF(OR(J178="",K178=""),"",NETWORKDAYS(J178,K178))</f>
      </c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5" customHeight="1" spans="1:40" x14ac:dyDescent="0.25">
      <c r="A179" s="25">
        <v>17</v>
      </c>
      <c r="B179" s="26" t="s">
        <v>343</v>
      </c>
      <c r="C179" s="26" t="s">
        <v>254</v>
      </c>
      <c r="D179" s="25" t="s">
        <v>9</v>
      </c>
      <c r="E179" s="25" t="s">
        <v>11</v>
      </c>
      <c r="F179" s="27">
        <v>0</v>
      </c>
      <c r="G179" s="28">
        <v>46336</v>
      </c>
      <c r="H179" s="28">
        <v>46336</v>
      </c>
      <c r="I179" s="29">
        <f>NETWORKDAYS(G179,H179)</f>
      </c>
      <c r="J179" s="28"/>
      <c r="K179" s="28"/>
      <c r="L179" s="29">
        <f>IF(OR(J179="",K179=""),"",NETWORKDAYS(J179,K179))</f>
      </c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5" customHeight="1" spans="1:40" x14ac:dyDescent="0.25">
      <c r="A180" s="25">
        <v>18</v>
      </c>
      <c r="B180" s="26" t="s">
        <v>344</v>
      </c>
      <c r="C180" s="26" t="s">
        <v>345</v>
      </c>
      <c r="D180" s="25" t="s">
        <v>8</v>
      </c>
      <c r="E180" s="25" t="s">
        <v>9</v>
      </c>
      <c r="F180" s="27">
        <v>0</v>
      </c>
      <c r="G180" s="28">
        <v>46337</v>
      </c>
      <c r="H180" s="28">
        <v>46337</v>
      </c>
      <c r="I180" s="29">
        <f>NETWORKDAYS(G180,H180)</f>
      </c>
      <c r="J180" s="28"/>
      <c r="K180" s="28"/>
      <c r="L180" s="29">
        <f>IF(OR(J180="",K180=""),"",NETWORKDAYS(J180,K180))</f>
      </c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5" customHeight="1" spans="1:40" x14ac:dyDescent="0.25">
      <c r="A181" s="25">
        <v>19</v>
      </c>
      <c r="B181" s="26" t="s">
        <v>346</v>
      </c>
      <c r="C181" s="26" t="s">
        <v>347</v>
      </c>
      <c r="D181" s="25" t="s">
        <v>8</v>
      </c>
      <c r="E181" s="25" t="s">
        <v>9</v>
      </c>
      <c r="F181" s="27">
        <v>0</v>
      </c>
      <c r="G181" s="28">
        <v>46337</v>
      </c>
      <c r="H181" s="28">
        <v>46337</v>
      </c>
      <c r="I181" s="29">
        <f>NETWORKDAYS(G181,H181)</f>
      </c>
      <c r="J181" s="28"/>
      <c r="K181" s="28"/>
      <c r="L181" s="29">
        <f>IF(OR(J181="",K181=""),"",NETWORKDAYS(J181,K181))</f>
      </c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5" customHeight="1" spans="1:40" x14ac:dyDescent="0.25">
      <c r="A182" s="25">
        <v>20</v>
      </c>
      <c r="B182" s="26" t="s">
        <v>348</v>
      </c>
      <c r="C182" s="26" t="s">
        <v>349</v>
      </c>
      <c r="D182" s="25" t="s">
        <v>8</v>
      </c>
      <c r="E182" s="25" t="s">
        <v>9</v>
      </c>
      <c r="F182" s="27">
        <v>0</v>
      </c>
      <c r="G182" s="28">
        <v>46337</v>
      </c>
      <c r="H182" s="28">
        <v>46337</v>
      </c>
      <c r="I182" s="29">
        <f>NETWORKDAYS(G182,H182)</f>
      </c>
      <c r="J182" s="28"/>
      <c r="K182" s="28"/>
      <c r="L182" s="29">
        <f>IF(OR(J182="",K182=""),"",NETWORKDAYS(J182,K182))</f>
      </c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5" customHeight="1" spans="1:40" x14ac:dyDescent="0.25">
      <c r="A183" s="25">
        <v>21</v>
      </c>
      <c r="B183" s="26" t="s">
        <v>350</v>
      </c>
      <c r="C183" s="26" t="s">
        <v>351</v>
      </c>
      <c r="D183" s="25" t="s">
        <v>9</v>
      </c>
      <c r="E183" s="25" t="s">
        <v>11</v>
      </c>
      <c r="F183" s="27">
        <v>0</v>
      </c>
      <c r="G183" s="28">
        <v>46337</v>
      </c>
      <c r="H183" s="28">
        <v>46337</v>
      </c>
      <c r="I183" s="29">
        <f>NETWORKDAYS(G183,H183)</f>
      </c>
      <c r="J183" s="28"/>
      <c r="K183" s="28"/>
      <c r="L183" s="29">
        <f>IF(OR(J183="",K183=""),"",NETWORKDAYS(J183,K183))</f>
      </c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5" customHeight="1" spans="1:40" x14ac:dyDescent="0.25">
      <c r="A184" s="25">
        <v>22</v>
      </c>
      <c r="B184" s="26" t="s">
        <v>352</v>
      </c>
      <c r="C184" s="26" t="s">
        <v>308</v>
      </c>
      <c r="D184" s="25" t="s">
        <v>9</v>
      </c>
      <c r="E184" s="25" t="s">
        <v>11</v>
      </c>
      <c r="F184" s="27">
        <v>0</v>
      </c>
      <c r="G184" s="28">
        <v>46337</v>
      </c>
      <c r="H184" s="28">
        <v>46337</v>
      </c>
      <c r="I184" s="29">
        <f>NETWORKDAYS(G184,H184)</f>
      </c>
      <c r="J184" s="28"/>
      <c r="K184" s="28"/>
      <c r="L184" s="29">
        <f>IF(OR(J184="",K184=""),"",NETWORKDAYS(J184,K184))</f>
      </c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5" customHeight="1" spans="1:40" x14ac:dyDescent="0.25">
      <c r="A185" s="25">
        <v>23</v>
      </c>
      <c r="B185" s="26" t="s">
        <v>353</v>
      </c>
      <c r="C185" s="26" t="s">
        <v>354</v>
      </c>
      <c r="D185" s="25" t="s">
        <v>10</v>
      </c>
      <c r="E185" s="25" t="s">
        <v>8</v>
      </c>
      <c r="F185" s="27">
        <v>0</v>
      </c>
      <c r="G185" s="28">
        <v>46337</v>
      </c>
      <c r="H185" s="28">
        <v>46337</v>
      </c>
      <c r="I185" s="29">
        <f>NETWORKDAYS(G185,H185)</f>
      </c>
      <c r="J185" s="28"/>
      <c r="K185" s="28"/>
      <c r="L185" s="29">
        <f>IF(OR(J185="",K185=""),"",NETWORKDAYS(J185,K185))</f>
      </c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5" customHeight="1" spans="1:40" x14ac:dyDescent="0.25">
      <c r="A186" s="25">
        <v>24</v>
      </c>
      <c r="B186" s="26" t="s">
        <v>355</v>
      </c>
      <c r="C186" s="26" t="s">
        <v>356</v>
      </c>
      <c r="D186" s="25" t="s">
        <v>10</v>
      </c>
      <c r="E186" s="25" t="s">
        <v>8</v>
      </c>
      <c r="F186" s="27">
        <v>0</v>
      </c>
      <c r="G186" s="28">
        <v>46337</v>
      </c>
      <c r="H186" s="28">
        <v>46337</v>
      </c>
      <c r="I186" s="29">
        <f>NETWORKDAYS(G186,H186)</f>
      </c>
      <c r="J186" s="28"/>
      <c r="K186" s="28"/>
      <c r="L186" s="29">
        <f>IF(OR(J186="",K186=""),"",NETWORKDAYS(J186,K186))</f>
      </c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5" customHeight="1" spans="1:40" x14ac:dyDescent="0.25">
      <c r="A187" s="25">
        <v>25</v>
      </c>
      <c r="B187" s="26" t="s">
        <v>357</v>
      </c>
      <c r="C187" s="26" t="s">
        <v>358</v>
      </c>
      <c r="D187" s="25" t="s">
        <v>8</v>
      </c>
      <c r="E187" s="25" t="s">
        <v>9</v>
      </c>
      <c r="F187" s="27">
        <v>0</v>
      </c>
      <c r="G187" s="28">
        <v>46338</v>
      </c>
      <c r="H187" s="28">
        <v>46338</v>
      </c>
      <c r="I187" s="29">
        <f>NETWORKDAYS(G187,H187)</f>
      </c>
      <c r="J187" s="28"/>
      <c r="K187" s="28"/>
      <c r="L187" s="29">
        <f>IF(OR(J187="",K187=""),"",NETWORKDAYS(J187,K187))</f>
      </c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5" customHeight="1" spans="1:40" x14ac:dyDescent="0.25">
      <c r="A188" s="25">
        <v>26</v>
      </c>
      <c r="B188" s="26" t="s">
        <v>359</v>
      </c>
      <c r="C188" s="26" t="s">
        <v>360</v>
      </c>
      <c r="D188" s="25" t="s">
        <v>8</v>
      </c>
      <c r="E188" s="25" t="s">
        <v>9</v>
      </c>
      <c r="F188" s="27">
        <v>0</v>
      </c>
      <c r="G188" s="28">
        <v>46338</v>
      </c>
      <c r="H188" s="28">
        <v>46338</v>
      </c>
      <c r="I188" s="29">
        <f>NETWORKDAYS(G188,H188)</f>
      </c>
      <c r="J188" s="28"/>
      <c r="K188" s="28"/>
      <c r="L188" s="29">
        <f>IF(OR(J188="",K188=""),"",NETWORKDAYS(J188,K188))</f>
      </c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5" customHeight="1" spans="1:40" x14ac:dyDescent="0.25">
      <c r="A189" s="25">
        <v>27</v>
      </c>
      <c r="B189" s="26" t="s">
        <v>361</v>
      </c>
      <c r="C189" s="26" t="s">
        <v>362</v>
      </c>
      <c r="D189" s="25" t="s">
        <v>9</v>
      </c>
      <c r="E189" s="25" t="s">
        <v>11</v>
      </c>
      <c r="F189" s="27">
        <v>0</v>
      </c>
      <c r="G189" s="28">
        <v>46338</v>
      </c>
      <c r="H189" s="28">
        <v>46338</v>
      </c>
      <c r="I189" s="29">
        <f>NETWORKDAYS(G189,H189)</f>
      </c>
      <c r="J189" s="28"/>
      <c r="K189" s="28"/>
      <c r="L189" s="29">
        <f>IF(OR(J189="",K189=""),"",NETWORKDAYS(J189,K189))</f>
      </c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5" customHeight="1" spans="1:40" x14ac:dyDescent="0.25">
      <c r="A190" s="25">
        <v>28</v>
      </c>
      <c r="B190" s="26" t="s">
        <v>363</v>
      </c>
      <c r="C190" s="26" t="s">
        <v>364</v>
      </c>
      <c r="D190" s="25" t="s">
        <v>10</v>
      </c>
      <c r="E190" s="25" t="s">
        <v>8</v>
      </c>
      <c r="F190" s="27">
        <v>0</v>
      </c>
      <c r="G190" s="28">
        <v>46338</v>
      </c>
      <c r="H190" s="28">
        <v>46338</v>
      </c>
      <c r="I190" s="29">
        <f>NETWORKDAYS(G190,H190)</f>
      </c>
      <c r="J190" s="28"/>
      <c r="K190" s="28"/>
      <c r="L190" s="29">
        <f>IF(OR(J190="",K190=""),"",NETWORKDAYS(J190,K190))</f>
      </c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5" customHeight="1" spans="1:40" x14ac:dyDescent="0.25">
      <c r="A191" s="25">
        <v>29</v>
      </c>
      <c r="B191" s="26" t="s">
        <v>365</v>
      </c>
      <c r="C191" s="26" t="s">
        <v>366</v>
      </c>
      <c r="D191" s="25" t="s">
        <v>10</v>
      </c>
      <c r="E191" s="25" t="s">
        <v>8</v>
      </c>
      <c r="F191" s="27">
        <v>0</v>
      </c>
      <c r="G191" s="28">
        <v>46338</v>
      </c>
      <c r="H191" s="28">
        <v>46338</v>
      </c>
      <c r="I191" s="29">
        <f>NETWORKDAYS(G191,H191)</f>
      </c>
      <c r="J191" s="28"/>
      <c r="K191" s="28"/>
      <c r="L191" s="29">
        <f>IF(OR(J191="",K191=""),"",NETWORKDAYS(J191,K191))</f>
      </c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5" customHeight="1" spans="1:40" x14ac:dyDescent="0.25">
      <c r="A192" s="25">
        <v>30</v>
      </c>
      <c r="B192" s="26" t="s">
        <v>367</v>
      </c>
      <c r="C192" s="26" t="s">
        <v>360</v>
      </c>
      <c r="D192" s="25" t="s">
        <v>11</v>
      </c>
      <c r="E192" s="25" t="s">
        <v>9</v>
      </c>
      <c r="F192" s="27">
        <v>0</v>
      </c>
      <c r="G192" s="28">
        <v>46338</v>
      </c>
      <c r="H192" s="28">
        <v>46338</v>
      </c>
      <c r="I192" s="29">
        <f>NETWORKDAYS(G192,H192)</f>
      </c>
      <c r="J192" s="28"/>
      <c r="K192" s="28"/>
      <c r="L192" s="29">
        <f>IF(OR(J192="",K192=""),"",NETWORKDAYS(J192,K192))</f>
      </c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5" customHeight="1" spans="1:40" x14ac:dyDescent="0.25">
      <c r="A193" s="25">
        <v>31</v>
      </c>
      <c r="B193" s="26" t="s">
        <v>368</v>
      </c>
      <c r="C193" s="26" t="s">
        <v>369</v>
      </c>
      <c r="D193" s="25" t="s">
        <v>8</v>
      </c>
      <c r="E193" s="25" t="s">
        <v>9</v>
      </c>
      <c r="F193" s="27">
        <v>0</v>
      </c>
      <c r="G193" s="28">
        <v>46339</v>
      </c>
      <c r="H193" s="28">
        <v>46339</v>
      </c>
      <c r="I193" s="29">
        <f>NETWORKDAYS(G193,H193)</f>
      </c>
      <c r="J193" s="28"/>
      <c r="K193" s="28"/>
      <c r="L193" s="29">
        <f>IF(OR(J193="",K193=""),"",NETWORKDAYS(J193,K193))</f>
      </c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5" customHeight="1" spans="1:40" x14ac:dyDescent="0.25">
      <c r="A194" s="25">
        <v>32</v>
      </c>
      <c r="B194" s="26" t="s">
        <v>370</v>
      </c>
      <c r="C194" s="26" t="s">
        <v>308</v>
      </c>
      <c r="D194" s="25" t="s">
        <v>9</v>
      </c>
      <c r="E194" s="25" t="s">
        <v>11</v>
      </c>
      <c r="F194" s="27">
        <v>0</v>
      </c>
      <c r="G194" s="28">
        <v>46339</v>
      </c>
      <c r="H194" s="28">
        <v>46339</v>
      </c>
      <c r="I194" s="29">
        <f>NETWORKDAYS(G194,H194)</f>
      </c>
      <c r="J194" s="28"/>
      <c r="K194" s="28"/>
      <c r="L194" s="29">
        <f>IF(OR(J194="",K194=""),"",NETWORKDAYS(J194,K194))</f>
      </c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5" customHeight="1" spans="1:40" x14ac:dyDescent="0.25">
      <c r="A195" s="25">
        <v>33</v>
      </c>
      <c r="B195" s="26" t="s">
        <v>371</v>
      </c>
      <c r="C195" s="26" t="s">
        <v>372</v>
      </c>
      <c r="D195" s="25" t="s">
        <v>10</v>
      </c>
      <c r="E195" s="25" t="s">
        <v>8</v>
      </c>
      <c r="F195" s="27">
        <v>0</v>
      </c>
      <c r="G195" s="28">
        <v>46339</v>
      </c>
      <c r="H195" s="28">
        <v>46339</v>
      </c>
      <c r="I195" s="29">
        <f>NETWORKDAYS(G195,H195)</f>
      </c>
      <c r="J195" s="28"/>
      <c r="K195" s="28"/>
      <c r="L195" s="29">
        <f>IF(OR(J195="",K195=""),"",NETWORKDAYS(J195,K195))</f>
      </c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5" customHeight="1" spans="1:40" x14ac:dyDescent="0.25">
      <c r="A196" s="25">
        <v>34</v>
      </c>
      <c r="B196" s="26" t="s">
        <v>373</v>
      </c>
      <c r="C196" s="26" t="s">
        <v>374</v>
      </c>
      <c r="D196" s="25" t="s">
        <v>10</v>
      </c>
      <c r="E196" s="25" t="s">
        <v>8</v>
      </c>
      <c r="F196" s="27">
        <v>0</v>
      </c>
      <c r="G196" s="28">
        <v>46339</v>
      </c>
      <c r="H196" s="28">
        <v>46339</v>
      </c>
      <c r="I196" s="29">
        <f>NETWORKDAYS(G196,H196)</f>
      </c>
      <c r="J196" s="28"/>
      <c r="K196" s="28"/>
      <c r="L196" s="29">
        <f>IF(OR(J196="",K196=""),"",NETWORKDAYS(J196,K196))</f>
      </c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5" customHeight="1" spans="1:40" x14ac:dyDescent="0.25">
      <c r="A197" s="25">
        <v>35</v>
      </c>
      <c r="B197" s="26" t="s">
        <v>375</v>
      </c>
      <c r="C197" s="26" t="s">
        <v>376</v>
      </c>
      <c r="D197" s="25" t="s">
        <v>10</v>
      </c>
      <c r="E197" s="25" t="s">
        <v>8</v>
      </c>
      <c r="F197" s="27">
        <v>0</v>
      </c>
      <c r="G197" s="28">
        <v>46339</v>
      </c>
      <c r="H197" s="28">
        <v>46339</v>
      </c>
      <c r="I197" s="29">
        <f>NETWORKDAYS(G197,H197)</f>
      </c>
      <c r="J197" s="28"/>
      <c r="K197" s="28"/>
      <c r="L197" s="29">
        <f>IF(OR(J197="",K197=""),"",NETWORKDAYS(J197,K197))</f>
      </c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spans="1:40" x14ac:dyDescent="0.25">
      <c r="A198" s="19" t="s">
        <v>377</v>
      </c>
      <c r="B198" s="20" t="s">
        <v>378</v>
      </c>
      <c r="C198" s="21" t="s">
        <v>28</v>
      </c>
      <c r="D198" s="21" t="s">
        <v>28</v>
      </c>
      <c r="E198" s="21" t="s">
        <v>28</v>
      </c>
      <c r="F198" s="22">
        <f>AVERAGE(F199:F215)</f>
      </c>
      <c r="G198" s="23">
        <f>MIN(G199:G215)</f>
      </c>
      <c r="H198" s="23">
        <f>MAX(H199:H215)</f>
      </c>
      <c r="I198" s="19">
        <f>NETWORKDAYS(G198,H198)</f>
      </c>
      <c r="J198" s="23">
        <f>IF(COUNT(J199:J215)=0,"",MIN(J199:J215))</f>
      </c>
      <c r="K198" s="23">
        <f>IF(COUNT(K199:K215)=0,"",MAX(K199:K215))</f>
      </c>
      <c r="L198" s="19">
        <f>IF(OR(J198="",K198=""),"",NETWORKDAYS(J198,K198))</f>
      </c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</row>
    <row r="199" ht="15" customHeight="1" spans="1:40" x14ac:dyDescent="0.25">
      <c r="A199" s="25">
        <v>1</v>
      </c>
      <c r="B199" s="26" t="s">
        <v>379</v>
      </c>
      <c r="C199" s="26" t="s">
        <v>380</v>
      </c>
      <c r="D199" s="25" t="s">
        <v>11</v>
      </c>
      <c r="E199" s="25" t="s">
        <v>9</v>
      </c>
      <c r="F199" s="27">
        <v>0</v>
      </c>
      <c r="G199" s="28">
        <v>46325</v>
      </c>
      <c r="H199" s="28">
        <v>46325</v>
      </c>
      <c r="I199" s="29">
        <f>NETWORKDAYS(G199,H199)</f>
      </c>
      <c r="J199" s="28"/>
      <c r="K199" s="28"/>
      <c r="L199" s="29">
        <f>IF(OR(J199="",K199=""),"",NETWORKDAYS(J199,K199))</f>
      </c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5" customHeight="1" spans="1:40" x14ac:dyDescent="0.25">
      <c r="A200" s="25">
        <v>2</v>
      </c>
      <c r="B200" s="26" t="s">
        <v>381</v>
      </c>
      <c r="C200" s="26" t="s">
        <v>382</v>
      </c>
      <c r="D200" s="25" t="s">
        <v>11</v>
      </c>
      <c r="E200" s="25" t="s">
        <v>9</v>
      </c>
      <c r="F200" s="27">
        <v>0</v>
      </c>
      <c r="G200" s="28">
        <v>46331</v>
      </c>
      <c r="H200" s="28">
        <v>46331</v>
      </c>
      <c r="I200" s="29">
        <f>NETWORKDAYS(G200,H200)</f>
      </c>
      <c r="J200" s="28"/>
      <c r="K200" s="28"/>
      <c r="L200" s="29">
        <f>IF(OR(J200="",K200=""),"",NETWORKDAYS(J200,K200))</f>
      </c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5" customHeight="1" spans="1:40" x14ac:dyDescent="0.25">
      <c r="A201" s="25">
        <v>3</v>
      </c>
      <c r="B201" s="26" t="s">
        <v>383</v>
      </c>
      <c r="C201" s="26" t="s">
        <v>384</v>
      </c>
      <c r="D201" s="25" t="s">
        <v>11</v>
      </c>
      <c r="E201" s="25" t="s">
        <v>9</v>
      </c>
      <c r="F201" s="27">
        <v>0</v>
      </c>
      <c r="G201" s="28">
        <v>46332</v>
      </c>
      <c r="H201" s="28">
        <v>46332</v>
      </c>
      <c r="I201" s="29">
        <f>NETWORKDAYS(G201,H201)</f>
      </c>
      <c r="J201" s="28"/>
      <c r="K201" s="28"/>
      <c r="L201" s="29">
        <f>IF(OR(J201="",K201=""),"",NETWORKDAYS(J201,K201))</f>
      </c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5" customHeight="1" spans="1:40" x14ac:dyDescent="0.25">
      <c r="A202" s="25">
        <v>4</v>
      </c>
      <c r="B202" s="26" t="s">
        <v>385</v>
      </c>
      <c r="C202" s="26" t="s">
        <v>386</v>
      </c>
      <c r="D202" s="25" t="s">
        <v>11</v>
      </c>
      <c r="E202" s="25" t="s">
        <v>9</v>
      </c>
      <c r="F202" s="27">
        <v>0</v>
      </c>
      <c r="G202" s="28">
        <v>46335</v>
      </c>
      <c r="H202" s="28">
        <v>46335</v>
      </c>
      <c r="I202" s="29">
        <f>NETWORKDAYS(G202,H202)</f>
      </c>
      <c r="J202" s="28"/>
      <c r="K202" s="28"/>
      <c r="L202" s="29">
        <f>IF(OR(J202="",K202=""),"",NETWORKDAYS(J202,K202))</f>
      </c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5" customHeight="1" spans="1:40" x14ac:dyDescent="0.25">
      <c r="A203" s="25">
        <v>5</v>
      </c>
      <c r="B203" s="26" t="s">
        <v>387</v>
      </c>
      <c r="C203" s="26" t="s">
        <v>388</v>
      </c>
      <c r="D203" s="25" t="s">
        <v>11</v>
      </c>
      <c r="E203" s="25" t="s">
        <v>9</v>
      </c>
      <c r="F203" s="27">
        <v>0</v>
      </c>
      <c r="G203" s="28">
        <v>46335</v>
      </c>
      <c r="H203" s="28">
        <v>46335</v>
      </c>
      <c r="I203" s="29">
        <f>NETWORKDAYS(G203,H203)</f>
      </c>
      <c r="J203" s="28"/>
      <c r="K203" s="28"/>
      <c r="L203" s="29">
        <f>IF(OR(J203="",K203=""),"",NETWORKDAYS(J203,K203))</f>
      </c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5" customHeight="1" spans="1:40" x14ac:dyDescent="0.25">
      <c r="A204" s="25">
        <v>6</v>
      </c>
      <c r="B204" s="26" t="s">
        <v>389</v>
      </c>
      <c r="C204" s="26" t="s">
        <v>390</v>
      </c>
      <c r="D204" s="25" t="s">
        <v>11</v>
      </c>
      <c r="E204" s="25" t="s">
        <v>9</v>
      </c>
      <c r="F204" s="27">
        <v>0</v>
      </c>
      <c r="G204" s="28">
        <v>46335</v>
      </c>
      <c r="H204" s="28">
        <v>46335</v>
      </c>
      <c r="I204" s="29">
        <f>NETWORKDAYS(G204,H204)</f>
      </c>
      <c r="J204" s="28"/>
      <c r="K204" s="28"/>
      <c r="L204" s="29">
        <f>IF(OR(J204="",K204=""),"",NETWORKDAYS(J204,K204))</f>
      </c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5" customHeight="1" spans="1:40" x14ac:dyDescent="0.25">
      <c r="A205" s="25">
        <v>7</v>
      </c>
      <c r="B205" s="26" t="s">
        <v>391</v>
      </c>
      <c r="C205" s="26" t="s">
        <v>392</v>
      </c>
      <c r="D205" s="25" t="s">
        <v>11</v>
      </c>
      <c r="E205" s="25" t="s">
        <v>9</v>
      </c>
      <c r="F205" s="27">
        <v>0</v>
      </c>
      <c r="G205" s="28">
        <v>46336</v>
      </c>
      <c r="H205" s="28">
        <v>46336</v>
      </c>
      <c r="I205" s="29">
        <f>NETWORKDAYS(G205,H205)</f>
      </c>
      <c r="J205" s="28"/>
      <c r="K205" s="28"/>
      <c r="L205" s="29">
        <f>IF(OR(J205="",K205=""),"",NETWORKDAYS(J205,K205))</f>
      </c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5" customHeight="1" spans="1:40" x14ac:dyDescent="0.25">
      <c r="A206" s="25">
        <v>8</v>
      </c>
      <c r="B206" s="26" t="s">
        <v>393</v>
      </c>
      <c r="C206" s="26" t="s">
        <v>380</v>
      </c>
      <c r="D206" s="25" t="s">
        <v>11</v>
      </c>
      <c r="E206" s="25" t="s">
        <v>9</v>
      </c>
      <c r="F206" s="27">
        <v>0</v>
      </c>
      <c r="G206" s="28">
        <v>46336</v>
      </c>
      <c r="H206" s="28">
        <v>46336</v>
      </c>
      <c r="I206" s="29">
        <f>NETWORKDAYS(G206,H206)</f>
      </c>
      <c r="J206" s="28"/>
      <c r="K206" s="28"/>
      <c r="L206" s="29">
        <f>IF(OR(J206="",K206=""),"",NETWORKDAYS(J206,K206))</f>
      </c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5" customHeight="1" spans="1:40" x14ac:dyDescent="0.25">
      <c r="A207" s="25">
        <v>9</v>
      </c>
      <c r="B207" s="26" t="s">
        <v>394</v>
      </c>
      <c r="C207" s="26" t="s">
        <v>395</v>
      </c>
      <c r="D207" s="25" t="s">
        <v>11</v>
      </c>
      <c r="E207" s="25" t="s">
        <v>9</v>
      </c>
      <c r="F207" s="27">
        <v>0</v>
      </c>
      <c r="G207" s="28">
        <v>46336</v>
      </c>
      <c r="H207" s="28">
        <v>46336</v>
      </c>
      <c r="I207" s="29">
        <f>NETWORKDAYS(G207,H207)</f>
      </c>
      <c r="J207" s="28"/>
      <c r="K207" s="28"/>
      <c r="L207" s="29">
        <f>IF(OR(J207="",K207=""),"",NETWORKDAYS(J207,K207))</f>
      </c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5" customHeight="1" spans="1:40" x14ac:dyDescent="0.25">
      <c r="A208" s="25">
        <v>10</v>
      </c>
      <c r="B208" s="26" t="s">
        <v>396</v>
      </c>
      <c r="C208" s="26" t="s">
        <v>397</v>
      </c>
      <c r="D208" s="25" t="s">
        <v>11</v>
      </c>
      <c r="E208" s="25" t="s">
        <v>9</v>
      </c>
      <c r="F208" s="27">
        <v>0</v>
      </c>
      <c r="G208" s="28">
        <v>46337</v>
      </c>
      <c r="H208" s="28">
        <v>46337</v>
      </c>
      <c r="I208" s="29">
        <f>NETWORKDAYS(G208,H208)</f>
      </c>
      <c r="J208" s="28"/>
      <c r="K208" s="28"/>
      <c r="L208" s="29">
        <f>IF(OR(J208="",K208=""),"",NETWORKDAYS(J208,K208))</f>
      </c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5" customHeight="1" spans="1:40" x14ac:dyDescent="0.25">
      <c r="A209" s="25">
        <v>11</v>
      </c>
      <c r="B209" s="26" t="s">
        <v>398</v>
      </c>
      <c r="C209" s="26" t="s">
        <v>399</v>
      </c>
      <c r="D209" s="25" t="s">
        <v>11</v>
      </c>
      <c r="E209" s="25" t="s">
        <v>9</v>
      </c>
      <c r="F209" s="27">
        <v>0</v>
      </c>
      <c r="G209" s="28">
        <v>46337</v>
      </c>
      <c r="H209" s="28">
        <v>46337</v>
      </c>
      <c r="I209" s="29">
        <f>NETWORKDAYS(G209,H209)</f>
      </c>
      <c r="J209" s="28"/>
      <c r="K209" s="28"/>
      <c r="L209" s="29">
        <f>IF(OR(J209="",K209=""),"",NETWORKDAYS(J209,K209))</f>
      </c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5" customHeight="1" spans="1:40" x14ac:dyDescent="0.25">
      <c r="A210" s="25">
        <v>12</v>
      </c>
      <c r="B210" s="26" t="s">
        <v>400</v>
      </c>
      <c r="C210" s="26" t="s">
        <v>401</v>
      </c>
      <c r="D210" s="25" t="s">
        <v>11</v>
      </c>
      <c r="E210" s="25" t="s">
        <v>9</v>
      </c>
      <c r="F210" s="27">
        <v>0</v>
      </c>
      <c r="G210" s="28">
        <v>46337</v>
      </c>
      <c r="H210" s="28">
        <v>46337</v>
      </c>
      <c r="I210" s="29">
        <f>NETWORKDAYS(G210,H210)</f>
      </c>
      <c r="J210" s="28"/>
      <c r="K210" s="28"/>
      <c r="L210" s="29">
        <f>IF(OR(J210="",K210=""),"",NETWORKDAYS(J210,K210))</f>
      </c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5" customHeight="1" spans="1:40" x14ac:dyDescent="0.25">
      <c r="A211" s="25">
        <v>13</v>
      </c>
      <c r="B211" s="26" t="s">
        <v>402</v>
      </c>
      <c r="C211" s="26" t="s">
        <v>403</v>
      </c>
      <c r="D211" s="25" t="s">
        <v>11</v>
      </c>
      <c r="E211" s="25" t="s">
        <v>9</v>
      </c>
      <c r="F211" s="27">
        <v>0</v>
      </c>
      <c r="G211" s="28">
        <v>46338</v>
      </c>
      <c r="H211" s="28">
        <v>46338</v>
      </c>
      <c r="I211" s="29">
        <f>NETWORKDAYS(G211,H211)</f>
      </c>
      <c r="J211" s="28"/>
      <c r="K211" s="28"/>
      <c r="L211" s="29">
        <f>IF(OR(J211="",K211=""),"",NETWORKDAYS(J211,K211))</f>
      </c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5" customHeight="1" spans="1:40" x14ac:dyDescent="0.25">
      <c r="A212" s="25">
        <v>14</v>
      </c>
      <c r="B212" s="26" t="s">
        <v>404</v>
      </c>
      <c r="C212" s="26" t="s">
        <v>405</v>
      </c>
      <c r="D212" s="25" t="s">
        <v>11</v>
      </c>
      <c r="E212" s="25" t="s">
        <v>9</v>
      </c>
      <c r="F212" s="27">
        <v>0</v>
      </c>
      <c r="G212" s="28">
        <v>46338</v>
      </c>
      <c r="H212" s="28">
        <v>46338</v>
      </c>
      <c r="I212" s="29">
        <f>NETWORKDAYS(G212,H212)</f>
      </c>
      <c r="J212" s="28"/>
      <c r="K212" s="28"/>
      <c r="L212" s="29">
        <f>IF(OR(J212="",K212=""),"",NETWORKDAYS(J212,K212))</f>
      </c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5" customHeight="1" spans="1:40" x14ac:dyDescent="0.25">
      <c r="A213" s="25">
        <v>15</v>
      </c>
      <c r="B213" s="26" t="s">
        <v>406</v>
      </c>
      <c r="C213" s="26" t="s">
        <v>407</v>
      </c>
      <c r="D213" s="25" t="s">
        <v>11</v>
      </c>
      <c r="E213" s="25" t="s">
        <v>9</v>
      </c>
      <c r="F213" s="27">
        <v>0</v>
      </c>
      <c r="G213" s="28">
        <v>46339</v>
      </c>
      <c r="H213" s="28">
        <v>46339</v>
      </c>
      <c r="I213" s="29">
        <f>NETWORKDAYS(G213,H213)</f>
      </c>
      <c r="J213" s="28"/>
      <c r="K213" s="28"/>
      <c r="L213" s="29">
        <f>IF(OR(J213="",K213=""),"",NETWORKDAYS(J213,K213))</f>
      </c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5" customHeight="1" spans="1:40" x14ac:dyDescent="0.25">
      <c r="A214" s="25">
        <v>16</v>
      </c>
      <c r="B214" s="26" t="s">
        <v>408</v>
      </c>
      <c r="C214" s="26" t="s">
        <v>409</v>
      </c>
      <c r="D214" s="25" t="s">
        <v>11</v>
      </c>
      <c r="E214" s="25" t="s">
        <v>9</v>
      </c>
      <c r="F214" s="27">
        <v>0</v>
      </c>
      <c r="G214" s="28">
        <v>46339</v>
      </c>
      <c r="H214" s="28">
        <v>46339</v>
      </c>
      <c r="I214" s="29">
        <f>NETWORKDAYS(G214,H214)</f>
      </c>
      <c r="J214" s="28"/>
      <c r="K214" s="28"/>
      <c r="L214" s="29">
        <f>IF(OR(J214="",K214=""),"",NETWORKDAYS(J214,K214))</f>
      </c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5" customHeight="1" spans="1:40" x14ac:dyDescent="0.25">
      <c r="A215" s="25">
        <v>17</v>
      </c>
      <c r="B215" s="26" t="s">
        <v>410</v>
      </c>
      <c r="C215" s="26" t="s">
        <v>411</v>
      </c>
      <c r="D215" s="25" t="s">
        <v>11</v>
      </c>
      <c r="E215" s="25" t="s">
        <v>9</v>
      </c>
      <c r="F215" s="27">
        <v>0</v>
      </c>
      <c r="G215" s="28">
        <v>46339</v>
      </c>
      <c r="H215" s="28">
        <v>46339</v>
      </c>
      <c r="I215" s="29">
        <f>NETWORKDAYS(G215,H215)</f>
      </c>
      <c r="J215" s="28"/>
      <c r="K215" s="28"/>
      <c r="L215" s="29">
        <f>IF(OR(J215="",K215=""),"",NETWORKDAYS(J215,K215))</f>
      </c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spans="1:40" x14ac:dyDescent="0.25">
      <c r="A216" s="19" t="s">
        <v>412</v>
      </c>
      <c r="B216" s="20" t="s">
        <v>413</v>
      </c>
      <c r="C216" s="21" t="s">
        <v>28</v>
      </c>
      <c r="D216" s="21" t="s">
        <v>28</v>
      </c>
      <c r="E216" s="21" t="s">
        <v>28</v>
      </c>
      <c r="F216" s="22">
        <f>AVERAGE(F217:F252)</f>
      </c>
      <c r="G216" s="23">
        <f>MIN(G217:G252)</f>
      </c>
      <c r="H216" s="23">
        <f>MAX(H217:H252)</f>
      </c>
      <c r="I216" s="19">
        <f>NETWORKDAYS(G216,H216)</f>
      </c>
      <c r="J216" s="23">
        <f>IF(COUNT(J217:J252)=0,"",MIN(J217:J252))</f>
      </c>
      <c r="K216" s="23">
        <f>IF(COUNT(K217:K252)=0,"",MAX(K217:K252))</f>
      </c>
      <c r="L216" s="19">
        <f>IF(OR(J216="",K216=""),"",NETWORKDAYS(J216,K216))</f>
      </c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</row>
    <row r="217" ht="15" customHeight="1" spans="1:40" x14ac:dyDescent="0.25">
      <c r="A217" s="25">
        <v>1</v>
      </c>
      <c r="B217" s="26" t="s">
        <v>414</v>
      </c>
      <c r="C217" s="26" t="s">
        <v>415</v>
      </c>
      <c r="D217" s="25" t="s">
        <v>8</v>
      </c>
      <c r="E217" s="25" t="s">
        <v>9</v>
      </c>
      <c r="F217" s="27">
        <v>0</v>
      </c>
      <c r="G217" s="28">
        <v>46342</v>
      </c>
      <c r="H217" s="28">
        <v>46342</v>
      </c>
      <c r="I217" s="29">
        <f>NETWORKDAYS(G217,H217)</f>
      </c>
      <c r="J217" s="28"/>
      <c r="K217" s="28"/>
      <c r="L217" s="29">
        <f>IF(OR(J217="",K217=""),"",NETWORKDAYS(J217,K217))</f>
      </c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5" customHeight="1" spans="1:40" x14ac:dyDescent="0.25">
      <c r="A218" s="25">
        <v>2</v>
      </c>
      <c r="B218" s="26" t="s">
        <v>416</v>
      </c>
      <c r="C218" s="26" t="s">
        <v>417</v>
      </c>
      <c r="D218" s="25" t="s">
        <v>8</v>
      </c>
      <c r="E218" s="25" t="s">
        <v>9</v>
      </c>
      <c r="F218" s="27">
        <v>0</v>
      </c>
      <c r="G218" s="28">
        <v>46342</v>
      </c>
      <c r="H218" s="28">
        <v>46342</v>
      </c>
      <c r="I218" s="29">
        <f>NETWORKDAYS(G218,H218)</f>
      </c>
      <c r="J218" s="28"/>
      <c r="K218" s="28"/>
      <c r="L218" s="29">
        <f>IF(OR(J218="",K218=""),"",NETWORKDAYS(J218,K218))</f>
      </c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5" customHeight="1" spans="1:40" x14ac:dyDescent="0.25">
      <c r="A219" s="25">
        <v>3</v>
      </c>
      <c r="B219" s="26" t="s">
        <v>418</v>
      </c>
      <c r="C219" s="26" t="s">
        <v>360</v>
      </c>
      <c r="D219" s="25" t="s">
        <v>9</v>
      </c>
      <c r="E219" s="25" t="s">
        <v>11</v>
      </c>
      <c r="F219" s="27">
        <v>0</v>
      </c>
      <c r="G219" s="28">
        <v>46342</v>
      </c>
      <c r="H219" s="28">
        <v>46342</v>
      </c>
      <c r="I219" s="29">
        <f>NETWORKDAYS(G219,H219)</f>
      </c>
      <c r="J219" s="28"/>
      <c r="K219" s="28"/>
      <c r="L219" s="29">
        <f>IF(OR(J219="",K219=""),"",NETWORKDAYS(J219,K219))</f>
      </c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5" customHeight="1" spans="1:40" x14ac:dyDescent="0.25">
      <c r="A220" s="25">
        <v>4</v>
      </c>
      <c r="B220" s="26" t="s">
        <v>419</v>
      </c>
      <c r="C220" s="26" t="s">
        <v>420</v>
      </c>
      <c r="D220" s="25" t="s">
        <v>9</v>
      </c>
      <c r="E220" s="25" t="s">
        <v>11</v>
      </c>
      <c r="F220" s="27">
        <v>0</v>
      </c>
      <c r="G220" s="28">
        <v>46342</v>
      </c>
      <c r="H220" s="28">
        <v>46342</v>
      </c>
      <c r="I220" s="29">
        <f>NETWORKDAYS(G220,H220)</f>
      </c>
      <c r="J220" s="28"/>
      <c r="K220" s="28"/>
      <c r="L220" s="29">
        <f>IF(OR(J220="",K220=""),"",NETWORKDAYS(J220,K220))</f>
      </c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5" customHeight="1" spans="1:40" x14ac:dyDescent="0.25">
      <c r="A221" s="25">
        <v>5</v>
      </c>
      <c r="B221" s="26" t="s">
        <v>421</v>
      </c>
      <c r="C221" s="26" t="s">
        <v>360</v>
      </c>
      <c r="D221" s="25" t="s">
        <v>10</v>
      </c>
      <c r="E221" s="25" t="s">
        <v>8</v>
      </c>
      <c r="F221" s="27">
        <v>0</v>
      </c>
      <c r="G221" s="28">
        <v>46342</v>
      </c>
      <c r="H221" s="28">
        <v>46342</v>
      </c>
      <c r="I221" s="29">
        <f>NETWORKDAYS(G221,H221)</f>
      </c>
      <c r="J221" s="28"/>
      <c r="K221" s="28"/>
      <c r="L221" s="29">
        <f>IF(OR(J221="",K221=""),"",NETWORKDAYS(J221,K221))</f>
      </c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5" customHeight="1" spans="1:40" x14ac:dyDescent="0.25">
      <c r="A222" s="25">
        <v>6</v>
      </c>
      <c r="B222" s="26" t="s">
        <v>422</v>
      </c>
      <c r="C222" s="26" t="s">
        <v>423</v>
      </c>
      <c r="D222" s="25" t="s">
        <v>10</v>
      </c>
      <c r="E222" s="25" t="s">
        <v>8</v>
      </c>
      <c r="F222" s="27">
        <v>0</v>
      </c>
      <c r="G222" s="28">
        <v>46342</v>
      </c>
      <c r="H222" s="28">
        <v>46342</v>
      </c>
      <c r="I222" s="29">
        <f>NETWORKDAYS(G222,H222)</f>
      </c>
      <c r="J222" s="28"/>
      <c r="K222" s="28"/>
      <c r="L222" s="29">
        <f>IF(OR(J222="",K222=""),"",NETWORKDAYS(J222,K222))</f>
      </c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5" customHeight="1" spans="1:40" x14ac:dyDescent="0.25">
      <c r="A223" s="25">
        <v>7</v>
      </c>
      <c r="B223" s="26" t="s">
        <v>424</v>
      </c>
      <c r="C223" s="26" t="s">
        <v>425</v>
      </c>
      <c r="D223" s="25" t="s">
        <v>11</v>
      </c>
      <c r="E223" s="25" t="s">
        <v>9</v>
      </c>
      <c r="F223" s="27">
        <v>0</v>
      </c>
      <c r="G223" s="28">
        <v>46342</v>
      </c>
      <c r="H223" s="28">
        <v>46342</v>
      </c>
      <c r="I223" s="29">
        <f>NETWORKDAYS(G223,H223)</f>
      </c>
      <c r="J223" s="28"/>
      <c r="K223" s="28"/>
      <c r="L223" s="29">
        <f>IF(OR(J223="",K223=""),"",NETWORKDAYS(J223,K223))</f>
      </c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5" customHeight="1" spans="1:40" x14ac:dyDescent="0.25">
      <c r="A224" s="25">
        <v>8</v>
      </c>
      <c r="B224" s="26" t="s">
        <v>426</v>
      </c>
      <c r="C224" s="26" t="s">
        <v>360</v>
      </c>
      <c r="D224" s="25" t="s">
        <v>11</v>
      </c>
      <c r="E224" s="25" t="s">
        <v>9</v>
      </c>
      <c r="F224" s="27">
        <v>0</v>
      </c>
      <c r="G224" s="28">
        <v>46342</v>
      </c>
      <c r="H224" s="28">
        <v>46342</v>
      </c>
      <c r="I224" s="29">
        <f>NETWORKDAYS(G224,H224)</f>
      </c>
      <c r="J224" s="28"/>
      <c r="K224" s="28"/>
      <c r="L224" s="29">
        <f>IF(OR(J224="",K224=""),"",NETWORKDAYS(J224,K224))</f>
      </c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5" customHeight="1" spans="1:40" x14ac:dyDescent="0.25">
      <c r="A225" s="25">
        <v>9</v>
      </c>
      <c r="B225" s="26" t="s">
        <v>427</v>
      </c>
      <c r="C225" s="26" t="s">
        <v>428</v>
      </c>
      <c r="D225" s="25" t="s">
        <v>8</v>
      </c>
      <c r="E225" s="25" t="s">
        <v>9</v>
      </c>
      <c r="F225" s="27">
        <v>0</v>
      </c>
      <c r="G225" s="28">
        <v>46343</v>
      </c>
      <c r="H225" s="28">
        <v>46343</v>
      </c>
      <c r="I225" s="29">
        <f>NETWORKDAYS(G225,H225)</f>
      </c>
      <c r="J225" s="28"/>
      <c r="K225" s="28"/>
      <c r="L225" s="29">
        <f>IF(OR(J225="",K225=""),"",NETWORKDAYS(J225,K225))</f>
      </c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5" customHeight="1" spans="1:40" x14ac:dyDescent="0.25">
      <c r="A226" s="25">
        <v>10</v>
      </c>
      <c r="B226" s="26" t="s">
        <v>429</v>
      </c>
      <c r="C226" s="26" t="s">
        <v>430</v>
      </c>
      <c r="D226" s="25" t="s">
        <v>8</v>
      </c>
      <c r="E226" s="25" t="s">
        <v>9</v>
      </c>
      <c r="F226" s="27">
        <v>0</v>
      </c>
      <c r="G226" s="28">
        <v>46343</v>
      </c>
      <c r="H226" s="28">
        <v>46343</v>
      </c>
      <c r="I226" s="29">
        <f>NETWORKDAYS(G226,H226)</f>
      </c>
      <c r="J226" s="28"/>
      <c r="K226" s="28"/>
      <c r="L226" s="29">
        <f>IF(OR(J226="",K226=""),"",NETWORKDAYS(J226,K226))</f>
      </c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5" customHeight="1" spans="1:40" x14ac:dyDescent="0.25">
      <c r="A227" s="25">
        <v>11</v>
      </c>
      <c r="B227" s="26" t="s">
        <v>431</v>
      </c>
      <c r="C227" s="26" t="s">
        <v>432</v>
      </c>
      <c r="D227" s="25" t="s">
        <v>9</v>
      </c>
      <c r="E227" s="25" t="s">
        <v>11</v>
      </c>
      <c r="F227" s="27">
        <v>0</v>
      </c>
      <c r="G227" s="28">
        <v>46343</v>
      </c>
      <c r="H227" s="28">
        <v>46343</v>
      </c>
      <c r="I227" s="29">
        <f>NETWORKDAYS(G227,H227)</f>
      </c>
      <c r="J227" s="28"/>
      <c r="K227" s="28"/>
      <c r="L227" s="29">
        <f>IF(OR(J227="",K227=""),"",NETWORKDAYS(J227,K227))</f>
      </c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5" customHeight="1" spans="1:40" x14ac:dyDescent="0.25">
      <c r="A228" s="25">
        <v>12</v>
      </c>
      <c r="B228" s="26" t="s">
        <v>433</v>
      </c>
      <c r="C228" s="26" t="s">
        <v>434</v>
      </c>
      <c r="D228" s="25" t="s">
        <v>10</v>
      </c>
      <c r="E228" s="25" t="s">
        <v>8</v>
      </c>
      <c r="F228" s="27">
        <v>0</v>
      </c>
      <c r="G228" s="28">
        <v>46343</v>
      </c>
      <c r="H228" s="28">
        <v>46343</v>
      </c>
      <c r="I228" s="29">
        <f>NETWORKDAYS(G228,H228)</f>
      </c>
      <c r="J228" s="28"/>
      <c r="K228" s="28"/>
      <c r="L228" s="29">
        <f>IF(OR(J228="",K228=""),"",NETWORKDAYS(J228,K228))</f>
      </c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5" customHeight="1" spans="1:40" x14ac:dyDescent="0.25">
      <c r="A229" s="25">
        <v>13</v>
      </c>
      <c r="B229" s="26" t="s">
        <v>435</v>
      </c>
      <c r="C229" s="26" t="s">
        <v>436</v>
      </c>
      <c r="D229" s="25" t="s">
        <v>10</v>
      </c>
      <c r="E229" s="25" t="s">
        <v>8</v>
      </c>
      <c r="F229" s="27">
        <v>0</v>
      </c>
      <c r="G229" s="28">
        <v>46343</v>
      </c>
      <c r="H229" s="28">
        <v>46343</v>
      </c>
      <c r="I229" s="29">
        <f>NETWORKDAYS(G229,H229)</f>
      </c>
      <c r="J229" s="28"/>
      <c r="K229" s="28"/>
      <c r="L229" s="29">
        <f>IF(OR(J229="",K229=""),"",NETWORKDAYS(J229,K229))</f>
      </c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5" customHeight="1" spans="1:40" x14ac:dyDescent="0.25">
      <c r="A230" s="25">
        <v>14</v>
      </c>
      <c r="B230" s="26" t="s">
        <v>437</v>
      </c>
      <c r="C230" s="26" t="s">
        <v>438</v>
      </c>
      <c r="D230" s="25" t="s">
        <v>11</v>
      </c>
      <c r="E230" s="25" t="s">
        <v>9</v>
      </c>
      <c r="F230" s="27">
        <v>0</v>
      </c>
      <c r="G230" s="28">
        <v>46343</v>
      </c>
      <c r="H230" s="28">
        <v>46343</v>
      </c>
      <c r="I230" s="29">
        <f>NETWORKDAYS(G230,H230)</f>
      </c>
      <c r="J230" s="28"/>
      <c r="K230" s="28"/>
      <c r="L230" s="29">
        <f>IF(OR(J230="",K230=""),"",NETWORKDAYS(J230,K230))</f>
      </c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5" customHeight="1" spans="1:40" x14ac:dyDescent="0.25">
      <c r="A231" s="25">
        <v>15</v>
      </c>
      <c r="B231" s="26" t="s">
        <v>439</v>
      </c>
      <c r="C231" s="26" t="s">
        <v>440</v>
      </c>
      <c r="D231" s="25" t="s">
        <v>11</v>
      </c>
      <c r="E231" s="25" t="s">
        <v>9</v>
      </c>
      <c r="F231" s="27">
        <v>0</v>
      </c>
      <c r="G231" s="28">
        <v>46343</v>
      </c>
      <c r="H231" s="28">
        <v>46343</v>
      </c>
      <c r="I231" s="29">
        <f>NETWORKDAYS(G231,H231)</f>
      </c>
      <c r="J231" s="28"/>
      <c r="K231" s="28"/>
      <c r="L231" s="29">
        <f>IF(OR(J231="",K231=""),"",NETWORKDAYS(J231,K231))</f>
      </c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5" customHeight="1" spans="1:40" x14ac:dyDescent="0.25">
      <c r="A232" s="25">
        <v>16</v>
      </c>
      <c r="B232" s="26" t="s">
        <v>441</v>
      </c>
      <c r="C232" s="26" t="s">
        <v>442</v>
      </c>
      <c r="D232" s="25" t="s">
        <v>8</v>
      </c>
      <c r="E232" s="25" t="s">
        <v>9</v>
      </c>
      <c r="F232" s="27">
        <v>0</v>
      </c>
      <c r="G232" s="28">
        <v>46344</v>
      </c>
      <c r="H232" s="28">
        <v>46344</v>
      </c>
      <c r="I232" s="29">
        <f>NETWORKDAYS(G232,H232)</f>
      </c>
      <c r="J232" s="28"/>
      <c r="K232" s="28"/>
      <c r="L232" s="29">
        <f>IF(OR(J232="",K232=""),"",NETWORKDAYS(J232,K232))</f>
      </c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</row>
    <row r="233" ht="15" customHeight="1" spans="1:40" x14ac:dyDescent="0.25">
      <c r="A233" s="25">
        <v>17</v>
      </c>
      <c r="B233" s="26" t="s">
        <v>443</v>
      </c>
      <c r="C233" s="26" t="s">
        <v>444</v>
      </c>
      <c r="D233" s="25" t="s">
        <v>8</v>
      </c>
      <c r="E233" s="25" t="s">
        <v>9</v>
      </c>
      <c r="F233" s="27">
        <v>0</v>
      </c>
      <c r="G233" s="28">
        <v>46344</v>
      </c>
      <c r="H233" s="28">
        <v>46344</v>
      </c>
      <c r="I233" s="29">
        <f>NETWORKDAYS(G233,H233)</f>
      </c>
      <c r="J233" s="28"/>
      <c r="K233" s="28"/>
      <c r="L233" s="29">
        <f>IF(OR(J233="",K233=""),"",NETWORKDAYS(J233,K233))</f>
      </c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</row>
    <row r="234" ht="15" customHeight="1" spans="1:40" x14ac:dyDescent="0.25">
      <c r="A234" s="25">
        <v>18</v>
      </c>
      <c r="B234" s="26" t="s">
        <v>445</v>
      </c>
      <c r="C234" s="26" t="s">
        <v>260</v>
      </c>
      <c r="D234" s="25" t="s">
        <v>9</v>
      </c>
      <c r="E234" s="25" t="s">
        <v>11</v>
      </c>
      <c r="F234" s="27">
        <v>0</v>
      </c>
      <c r="G234" s="28">
        <v>46344</v>
      </c>
      <c r="H234" s="28">
        <v>46344</v>
      </c>
      <c r="I234" s="29">
        <f>NETWORKDAYS(G234,H234)</f>
      </c>
      <c r="J234" s="28"/>
      <c r="K234" s="28"/>
      <c r="L234" s="29">
        <f>IF(OR(J234="",K234=""),"",NETWORKDAYS(J234,K234))</f>
      </c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</row>
    <row r="235" ht="15" customHeight="1" spans="1:40" x14ac:dyDescent="0.25">
      <c r="A235" s="25">
        <v>19</v>
      </c>
      <c r="B235" s="26" t="s">
        <v>446</v>
      </c>
      <c r="C235" s="26" t="s">
        <v>362</v>
      </c>
      <c r="D235" s="25" t="s">
        <v>9</v>
      </c>
      <c r="E235" s="25" t="s">
        <v>11</v>
      </c>
      <c r="F235" s="27">
        <v>0</v>
      </c>
      <c r="G235" s="28">
        <v>46344</v>
      </c>
      <c r="H235" s="28">
        <v>46344</v>
      </c>
      <c r="I235" s="29">
        <f>NETWORKDAYS(G235,H235)</f>
      </c>
      <c r="J235" s="28"/>
      <c r="K235" s="28"/>
      <c r="L235" s="29">
        <f>IF(OR(J235="",K235=""),"",NETWORKDAYS(J235,K235))</f>
      </c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</row>
    <row r="236" ht="15" customHeight="1" spans="1:40" x14ac:dyDescent="0.25">
      <c r="A236" s="25">
        <v>20</v>
      </c>
      <c r="B236" s="26" t="s">
        <v>447</v>
      </c>
      <c r="C236" s="26" t="s">
        <v>360</v>
      </c>
      <c r="D236" s="25" t="s">
        <v>10</v>
      </c>
      <c r="E236" s="25" t="s">
        <v>8</v>
      </c>
      <c r="F236" s="27">
        <v>0</v>
      </c>
      <c r="G236" s="28">
        <v>46344</v>
      </c>
      <c r="H236" s="28">
        <v>46344</v>
      </c>
      <c r="I236" s="29">
        <f>NETWORKDAYS(G236,H236)</f>
      </c>
      <c r="J236" s="28"/>
      <c r="K236" s="28"/>
      <c r="L236" s="29">
        <f>IF(OR(J236="",K236=""),"",NETWORKDAYS(J236,K236))</f>
      </c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</row>
    <row r="237" ht="15" customHeight="1" spans="1:40" x14ac:dyDescent="0.25">
      <c r="A237" s="25">
        <v>21</v>
      </c>
      <c r="B237" s="26" t="s">
        <v>448</v>
      </c>
      <c r="C237" s="26" t="s">
        <v>449</v>
      </c>
      <c r="D237" s="25" t="s">
        <v>10</v>
      </c>
      <c r="E237" s="25" t="s">
        <v>8</v>
      </c>
      <c r="F237" s="27">
        <v>0</v>
      </c>
      <c r="G237" s="28">
        <v>46344</v>
      </c>
      <c r="H237" s="28">
        <v>46344</v>
      </c>
      <c r="I237" s="29">
        <f>NETWORKDAYS(G237,H237)</f>
      </c>
      <c r="J237" s="28"/>
      <c r="K237" s="28"/>
      <c r="L237" s="29">
        <f>IF(OR(J237="",K237=""),"",NETWORKDAYS(J237,K237))</f>
      </c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</row>
    <row r="238" ht="15" customHeight="1" spans="1:40" x14ac:dyDescent="0.25">
      <c r="A238" s="25">
        <v>22</v>
      </c>
      <c r="B238" s="26" t="s">
        <v>450</v>
      </c>
      <c r="C238" s="26" t="s">
        <v>451</v>
      </c>
      <c r="D238" s="25" t="s">
        <v>11</v>
      </c>
      <c r="E238" s="25" t="s">
        <v>9</v>
      </c>
      <c r="F238" s="27">
        <v>0</v>
      </c>
      <c r="G238" s="28">
        <v>46344</v>
      </c>
      <c r="H238" s="28">
        <v>46344</v>
      </c>
      <c r="I238" s="29">
        <f>NETWORKDAYS(G238,H238)</f>
      </c>
      <c r="J238" s="28"/>
      <c r="K238" s="28"/>
      <c r="L238" s="29">
        <f>IF(OR(J238="",K238=""),"",NETWORKDAYS(J238,K238))</f>
      </c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</row>
    <row r="239" ht="15" customHeight="1" spans="1:40" x14ac:dyDescent="0.25">
      <c r="A239" s="25">
        <v>23</v>
      </c>
      <c r="B239" s="26" t="s">
        <v>452</v>
      </c>
      <c r="C239" s="26" t="s">
        <v>453</v>
      </c>
      <c r="D239" s="25" t="s">
        <v>11</v>
      </c>
      <c r="E239" s="25" t="s">
        <v>9</v>
      </c>
      <c r="F239" s="27">
        <v>0</v>
      </c>
      <c r="G239" s="28">
        <v>46344</v>
      </c>
      <c r="H239" s="28">
        <v>46344</v>
      </c>
      <c r="I239" s="29">
        <f>NETWORKDAYS(G239,H239)</f>
      </c>
      <c r="J239" s="28"/>
      <c r="K239" s="28"/>
      <c r="L239" s="29">
        <f>IF(OR(J239="",K239=""),"",NETWORKDAYS(J239,K239))</f>
      </c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</row>
    <row r="240" ht="15" customHeight="1" spans="1:40" x14ac:dyDescent="0.25">
      <c r="A240" s="25">
        <v>24</v>
      </c>
      <c r="B240" s="26" t="s">
        <v>454</v>
      </c>
      <c r="C240" s="26" t="s">
        <v>455</v>
      </c>
      <c r="D240" s="25" t="s">
        <v>8</v>
      </c>
      <c r="E240" s="25" t="s">
        <v>9</v>
      </c>
      <c r="F240" s="27">
        <v>0</v>
      </c>
      <c r="G240" s="28">
        <v>46345</v>
      </c>
      <c r="H240" s="28">
        <v>46345</v>
      </c>
      <c r="I240" s="29">
        <f>NETWORKDAYS(G240,H240)</f>
      </c>
      <c r="J240" s="28"/>
      <c r="K240" s="28"/>
      <c r="L240" s="29">
        <f>IF(OR(J240="",K240=""),"",NETWORKDAYS(J240,K240))</f>
      </c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</row>
    <row r="241" ht="15" customHeight="1" spans="1:40" x14ac:dyDescent="0.25">
      <c r="A241" s="25">
        <v>25</v>
      </c>
      <c r="B241" s="26" t="s">
        <v>456</v>
      </c>
      <c r="C241" s="26" t="s">
        <v>457</v>
      </c>
      <c r="D241" s="25" t="s">
        <v>8</v>
      </c>
      <c r="E241" s="25" t="s">
        <v>9</v>
      </c>
      <c r="F241" s="27">
        <v>0</v>
      </c>
      <c r="G241" s="28">
        <v>46345</v>
      </c>
      <c r="H241" s="28">
        <v>46345</v>
      </c>
      <c r="I241" s="29">
        <f>NETWORKDAYS(G241,H241)</f>
      </c>
      <c r="J241" s="28"/>
      <c r="K241" s="28"/>
      <c r="L241" s="29">
        <f>IF(OR(J241="",K241=""),"",NETWORKDAYS(J241,K241))</f>
      </c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</row>
    <row r="242" ht="15" customHeight="1" spans="1:40" x14ac:dyDescent="0.25">
      <c r="A242" s="25">
        <v>26</v>
      </c>
      <c r="B242" s="26" t="s">
        <v>458</v>
      </c>
      <c r="C242" s="26" t="s">
        <v>459</v>
      </c>
      <c r="D242" s="25" t="s">
        <v>9</v>
      </c>
      <c r="E242" s="25" t="s">
        <v>11</v>
      </c>
      <c r="F242" s="27">
        <v>0</v>
      </c>
      <c r="G242" s="28">
        <v>46345</v>
      </c>
      <c r="H242" s="28">
        <v>46345</v>
      </c>
      <c r="I242" s="29">
        <f>NETWORKDAYS(G242,H242)</f>
      </c>
      <c r="J242" s="28"/>
      <c r="K242" s="28"/>
      <c r="L242" s="29">
        <f>IF(OR(J242="",K242=""),"",NETWORKDAYS(J242,K242))</f>
      </c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</row>
    <row r="243" ht="15" customHeight="1" spans="1:40" x14ac:dyDescent="0.25">
      <c r="A243" s="25">
        <v>27</v>
      </c>
      <c r="B243" s="26" t="s">
        <v>460</v>
      </c>
      <c r="C243" s="26" t="s">
        <v>461</v>
      </c>
      <c r="D243" s="25" t="s">
        <v>9</v>
      </c>
      <c r="E243" s="25" t="s">
        <v>11</v>
      </c>
      <c r="F243" s="27">
        <v>0</v>
      </c>
      <c r="G243" s="28">
        <v>46345</v>
      </c>
      <c r="H243" s="28">
        <v>46345</v>
      </c>
      <c r="I243" s="29">
        <f>NETWORKDAYS(G243,H243)</f>
      </c>
      <c r="J243" s="28"/>
      <c r="K243" s="28"/>
      <c r="L243" s="29">
        <f>IF(OR(J243="",K243=""),"",NETWORKDAYS(J243,K243))</f>
      </c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</row>
    <row r="244" ht="15" customHeight="1" spans="1:40" x14ac:dyDescent="0.25">
      <c r="A244" s="25">
        <v>28</v>
      </c>
      <c r="B244" s="26" t="s">
        <v>462</v>
      </c>
      <c r="C244" s="26" t="s">
        <v>459</v>
      </c>
      <c r="D244" s="25" t="s">
        <v>10</v>
      </c>
      <c r="E244" s="25" t="s">
        <v>8</v>
      </c>
      <c r="F244" s="27">
        <v>0</v>
      </c>
      <c r="G244" s="28">
        <v>46345</v>
      </c>
      <c r="H244" s="28">
        <v>46345</v>
      </c>
      <c r="I244" s="29">
        <f>NETWORKDAYS(G244,H244)</f>
      </c>
      <c r="J244" s="28"/>
      <c r="K244" s="28"/>
      <c r="L244" s="29">
        <f>IF(OR(J244="",K244=""),"",NETWORKDAYS(J244,K244))</f>
      </c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</row>
    <row r="245" ht="15" customHeight="1" spans="1:40" x14ac:dyDescent="0.25">
      <c r="A245" s="25">
        <v>29</v>
      </c>
      <c r="B245" s="26" t="s">
        <v>463</v>
      </c>
      <c r="C245" s="26" t="s">
        <v>461</v>
      </c>
      <c r="D245" s="25" t="s">
        <v>10</v>
      </c>
      <c r="E245" s="25" t="s">
        <v>8</v>
      </c>
      <c r="F245" s="27">
        <v>0</v>
      </c>
      <c r="G245" s="28">
        <v>46345</v>
      </c>
      <c r="H245" s="28">
        <v>46345</v>
      </c>
      <c r="I245" s="29">
        <f>NETWORKDAYS(G245,H245)</f>
      </c>
      <c r="J245" s="28"/>
      <c r="K245" s="28"/>
      <c r="L245" s="29">
        <f>IF(OR(J245="",K245=""),"",NETWORKDAYS(J245,K245))</f>
      </c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</row>
    <row r="246" ht="15" customHeight="1" spans="1:40" x14ac:dyDescent="0.25">
      <c r="A246" s="25">
        <v>30</v>
      </c>
      <c r="B246" s="26" t="s">
        <v>464</v>
      </c>
      <c r="C246" s="26" t="s">
        <v>459</v>
      </c>
      <c r="D246" s="25" t="s">
        <v>11</v>
      </c>
      <c r="E246" s="25" t="s">
        <v>9</v>
      </c>
      <c r="F246" s="27">
        <v>0</v>
      </c>
      <c r="G246" s="28">
        <v>46345</v>
      </c>
      <c r="H246" s="28">
        <v>46345</v>
      </c>
      <c r="I246" s="29">
        <f>NETWORKDAYS(G246,H246)</f>
      </c>
      <c r="J246" s="28"/>
      <c r="K246" s="28"/>
      <c r="L246" s="29">
        <f>IF(OR(J246="",K246=""),"",NETWORKDAYS(J246,K246))</f>
      </c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</row>
    <row r="247" ht="15" customHeight="1" spans="1:40" x14ac:dyDescent="0.25">
      <c r="A247" s="25">
        <v>31</v>
      </c>
      <c r="B247" s="26" t="s">
        <v>465</v>
      </c>
      <c r="C247" s="26" t="s">
        <v>466</v>
      </c>
      <c r="D247" s="25" t="s">
        <v>11</v>
      </c>
      <c r="E247" s="25" t="s">
        <v>9</v>
      </c>
      <c r="F247" s="27">
        <v>0</v>
      </c>
      <c r="G247" s="28">
        <v>46345</v>
      </c>
      <c r="H247" s="28">
        <v>46345</v>
      </c>
      <c r="I247" s="29">
        <f>NETWORKDAYS(G247,H247)</f>
      </c>
      <c r="J247" s="28"/>
      <c r="K247" s="28"/>
      <c r="L247" s="29">
        <f>IF(OR(J247="",K247=""),"",NETWORKDAYS(J247,K247))</f>
      </c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</row>
    <row r="248" ht="15" customHeight="1" spans="1:40" x14ac:dyDescent="0.25">
      <c r="A248" s="25">
        <v>32</v>
      </c>
      <c r="B248" s="26" t="s">
        <v>467</v>
      </c>
      <c r="C248" s="26" t="s">
        <v>468</v>
      </c>
      <c r="D248" s="25" t="s">
        <v>8</v>
      </c>
      <c r="E248" s="25" t="s">
        <v>9</v>
      </c>
      <c r="F248" s="27">
        <v>0</v>
      </c>
      <c r="G248" s="28">
        <v>46346</v>
      </c>
      <c r="H248" s="28">
        <v>46346</v>
      </c>
      <c r="I248" s="29">
        <f>NETWORKDAYS(G248,H248)</f>
      </c>
      <c r="J248" s="28"/>
      <c r="K248" s="28"/>
      <c r="L248" s="29">
        <f>IF(OR(J248="",K248=""),"",NETWORKDAYS(J248,K248))</f>
      </c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</row>
    <row r="249" ht="15" customHeight="1" spans="1:40" x14ac:dyDescent="0.25">
      <c r="A249" s="25">
        <v>33</v>
      </c>
      <c r="B249" s="26" t="s">
        <v>469</v>
      </c>
      <c r="C249" s="26" t="s">
        <v>470</v>
      </c>
      <c r="D249" s="25" t="s">
        <v>8</v>
      </c>
      <c r="E249" s="25" t="s">
        <v>9</v>
      </c>
      <c r="F249" s="27">
        <v>0</v>
      </c>
      <c r="G249" s="28">
        <v>46346</v>
      </c>
      <c r="H249" s="28">
        <v>46346</v>
      </c>
      <c r="I249" s="29">
        <f>NETWORKDAYS(G249,H249)</f>
      </c>
      <c r="J249" s="28"/>
      <c r="K249" s="28"/>
      <c r="L249" s="29">
        <f>IF(OR(J249="",K249=""),"",NETWORKDAYS(J249,K249))</f>
      </c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</row>
    <row r="250" ht="15" customHeight="1" spans="1:40" x14ac:dyDescent="0.25">
      <c r="A250" s="25">
        <v>34</v>
      </c>
      <c r="B250" s="26" t="s">
        <v>471</v>
      </c>
      <c r="C250" s="26" t="s">
        <v>472</v>
      </c>
      <c r="D250" s="25" t="s">
        <v>9</v>
      </c>
      <c r="E250" s="25" t="s">
        <v>11</v>
      </c>
      <c r="F250" s="27">
        <v>0</v>
      </c>
      <c r="G250" s="28">
        <v>46346</v>
      </c>
      <c r="H250" s="28">
        <v>46346</v>
      </c>
      <c r="I250" s="29">
        <f>NETWORKDAYS(G250,H250)</f>
      </c>
      <c r="J250" s="28"/>
      <c r="K250" s="28"/>
      <c r="L250" s="29">
        <f>IF(OR(J250="",K250=""),"",NETWORKDAYS(J250,K250))</f>
      </c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</row>
    <row r="251" ht="15" customHeight="1" spans="1:40" x14ac:dyDescent="0.25">
      <c r="A251" s="25">
        <v>35</v>
      </c>
      <c r="B251" s="26" t="s">
        <v>473</v>
      </c>
      <c r="C251" s="26" t="s">
        <v>472</v>
      </c>
      <c r="D251" s="25" t="s">
        <v>10</v>
      </c>
      <c r="E251" s="25" t="s">
        <v>8</v>
      </c>
      <c r="F251" s="27">
        <v>0</v>
      </c>
      <c r="G251" s="28">
        <v>46346</v>
      </c>
      <c r="H251" s="28">
        <v>46346</v>
      </c>
      <c r="I251" s="29">
        <f>NETWORKDAYS(G251,H251)</f>
      </c>
      <c r="J251" s="28"/>
      <c r="K251" s="28"/>
      <c r="L251" s="29">
        <f>IF(OR(J251="",K251=""),"",NETWORKDAYS(J251,K251))</f>
      </c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</row>
    <row r="252" ht="15" customHeight="1" spans="1:40" x14ac:dyDescent="0.25">
      <c r="A252" s="25">
        <v>36</v>
      </c>
      <c r="B252" s="26" t="s">
        <v>474</v>
      </c>
      <c r="C252" s="26" t="s">
        <v>472</v>
      </c>
      <c r="D252" s="25" t="s">
        <v>11</v>
      </c>
      <c r="E252" s="25" t="s">
        <v>9</v>
      </c>
      <c r="F252" s="27">
        <v>0</v>
      </c>
      <c r="G252" s="28">
        <v>46346</v>
      </c>
      <c r="H252" s="28">
        <v>46346</v>
      </c>
      <c r="I252" s="29">
        <f>NETWORKDAYS(G252,H252)</f>
      </c>
      <c r="J252" s="28"/>
      <c r="K252" s="28"/>
      <c r="L252" s="29">
        <f>IF(OR(J252="",K252=""),"",NETWORKDAYS(J252,K252))</f>
      </c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</row>
  </sheetData>
  <autoFilter ref="A7:L252"/>
  <mergeCells count="1">
    <mergeCell ref="M4:P4"/>
  </mergeCells>
  <conditionalFormatting sqref="M9:AN252">
    <cfRule type="expression" dxfId="0" priority="1">
      <formula>M$5=TODAY()</formula>
    </cfRule>
    <cfRule type="expression" dxfId="1" priority="2">
      <formula>AND($J9&lt;&gt;"",$K9&lt;&gt;"",M$5&gt;=$J9,M$5&lt;=$K9,WEEKDAY(M$5,2)&lt;6)</formula>
    </cfRule>
    <cfRule type="expression" dxfId="2" priority="3">
      <formula>AND(M$5&gt;=$G9,M$5&lt;=$H9,WEEKDAY(M$5,2)&lt;6,$D9="Hưng")</formula>
    </cfRule>
    <cfRule type="expression" dxfId="3" priority="4">
      <formula>AND(M$5&gt;=$G9,M$5&lt;=$H9,WEEKDAY(M$5,2)&lt;6,$D9="Vượng")</formula>
    </cfRule>
    <cfRule type="expression" dxfId="4" priority="5">
      <formula>AND(M$5&gt;=$G9,M$5&lt;=$H9,WEEKDAY(M$5,2)&lt;6,$D9="Đức")</formula>
    </cfRule>
    <cfRule type="expression" dxfId="5" priority="6">
      <formula>AND(M$5&gt;=$G9,M$5&lt;=$H9,WEEKDAY(M$5,2)&lt;6,$D9="Minh")</formula>
    </cfRule>
    <cfRule type="expression" dxfId="6" priority="7">
      <formula>AND(M$5&gt;=$G9,M$5&lt;=$H9,WEEKDAY(M$5,2)&lt;6,$D9="Cả nhóm")</formula>
    </cfRule>
    <cfRule type="expression" dxfId="7" priority="8">
      <formula>AND(M$5&gt;=$G9,M$5&lt;=$H9,WEEKDAY(M$5,2)&lt;6,$D9="")</formula>
    </cfRule>
    <cfRule type="expression" dxfId="8" priority="9">
      <formula>WEEKDAY(M$5,2)&gt;5</formula>
    </cfRule>
  </conditionalFormatting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3" width="22" customWidth="1"/>
    <col min="4" max="4" width="26" customWidth="1"/>
    <col min="5" max="5" width="58" customWidth="1"/>
    <col min="6" max="6" width="14" customWidth="1"/>
    <col min="7" max="7" width="22" customWidth="1"/>
    <col min="8" max="8" width="20" customWidth="1"/>
  </cols>
  <sheetData>
    <row r="1" spans="1:8" x14ac:dyDescent="0.25">
      <c r="A1" s="37" t="s">
        <v>475</v>
      </c>
      <c r="B1" s="37"/>
      <c r="C1" s="37"/>
      <c r="D1" s="37"/>
      <c r="E1" s="37"/>
      <c r="F1" s="37"/>
      <c r="G1" s="37"/>
      <c r="H1" s="37"/>
    </row>
    <row r="2" spans="1:8" x14ac:dyDescent="0.25">
      <c r="A2" s="38" t="s">
        <v>476</v>
      </c>
      <c r="B2" s="38" t="s">
        <v>477</v>
      </c>
      <c r="C2" s="38" t="s">
        <v>478</v>
      </c>
      <c r="D2" s="38" t="s">
        <v>479</v>
      </c>
      <c r="E2" s="38" t="s">
        <v>480</v>
      </c>
      <c r="F2" s="38" t="s">
        <v>481</v>
      </c>
      <c r="G2" s="38" t="s">
        <v>482</v>
      </c>
      <c r="H2" s="38" t="s">
        <v>483</v>
      </c>
    </row>
    <row r="3" spans="1:8" x14ac:dyDescent="0.25">
      <c r="A3" s="39" t="s">
        <v>484</v>
      </c>
      <c r="B3" s="39"/>
      <c r="C3" s="39"/>
      <c r="D3" s="39"/>
      <c r="E3" s="39"/>
      <c r="F3" s="39"/>
      <c r="G3" s="39"/>
      <c r="H3" s="39"/>
    </row>
    <row r="4" ht="50" customHeight="1" spans="1:8" x14ac:dyDescent="0.25">
      <c r="A4" s="40">
        <v>1</v>
      </c>
      <c r="B4" s="41" t="s">
        <v>485</v>
      </c>
      <c r="C4" s="41" t="s">
        <v>486</v>
      </c>
      <c r="D4" s="41" t="s">
        <v>487</v>
      </c>
      <c r="E4" s="41" t="s">
        <v>488</v>
      </c>
      <c r="F4" s="41" t="s">
        <v>28</v>
      </c>
      <c r="G4" s="41" t="s">
        <v>28</v>
      </c>
      <c r="H4" s="41" t="s">
        <v>489</v>
      </c>
    </row>
    <row r="5" ht="50" customHeight="1" spans="1:8" x14ac:dyDescent="0.25">
      <c r="A5" s="40">
        <v>2</v>
      </c>
      <c r="B5" s="41" t="s">
        <v>490</v>
      </c>
      <c r="C5" s="41" t="s">
        <v>486</v>
      </c>
      <c r="D5" s="41" t="s">
        <v>491</v>
      </c>
      <c r="E5" s="41" t="s">
        <v>492</v>
      </c>
      <c r="F5" s="41" t="s">
        <v>28</v>
      </c>
      <c r="G5" s="41" t="s">
        <v>28</v>
      </c>
      <c r="H5" s="41" t="s">
        <v>493</v>
      </c>
    </row>
    <row r="6" ht="50" customHeight="1" spans="1:8" x14ac:dyDescent="0.25">
      <c r="A6" s="40">
        <v>3</v>
      </c>
      <c r="B6" s="41" t="s">
        <v>494</v>
      </c>
      <c r="C6" s="41" t="s">
        <v>486</v>
      </c>
      <c r="D6" s="41" t="s">
        <v>491</v>
      </c>
      <c r="E6" s="41" t="s">
        <v>495</v>
      </c>
      <c r="F6" s="41" t="s">
        <v>28</v>
      </c>
      <c r="G6" s="41" t="s">
        <v>28</v>
      </c>
      <c r="H6" s="41" t="s">
        <v>493</v>
      </c>
    </row>
    <row r="7" ht="50" customHeight="1" spans="1:8" x14ac:dyDescent="0.25">
      <c r="A7" s="40">
        <v>4</v>
      </c>
      <c r="B7" s="41" t="s">
        <v>496</v>
      </c>
      <c r="C7" s="41" t="s">
        <v>486</v>
      </c>
      <c r="D7" s="41" t="s">
        <v>491</v>
      </c>
      <c r="E7" s="41" t="s">
        <v>497</v>
      </c>
      <c r="F7" s="41" t="s">
        <v>28</v>
      </c>
      <c r="G7" s="41" t="s">
        <v>28</v>
      </c>
      <c r="H7" s="41" t="s">
        <v>498</v>
      </c>
    </row>
    <row r="9" spans="1:8" x14ac:dyDescent="0.25">
      <c r="A9" s="39" t="s">
        <v>499</v>
      </c>
      <c r="B9" s="39"/>
      <c r="C9" s="39"/>
      <c r="D9" s="39"/>
      <c r="E9" s="39"/>
      <c r="F9" s="39"/>
      <c r="G9" s="39"/>
      <c r="H9" s="39"/>
    </row>
    <row r="10" ht="34" customHeight="1" spans="1:8" x14ac:dyDescent="0.25">
      <c r="A10" s="40">
        <v>1</v>
      </c>
      <c r="B10" s="41" t="s">
        <v>500</v>
      </c>
      <c r="C10" s="41" t="s">
        <v>501</v>
      </c>
      <c r="D10" s="41" t="s">
        <v>502</v>
      </c>
      <c r="E10" s="41" t="s">
        <v>503</v>
      </c>
      <c r="F10" s="41" t="s">
        <v>28</v>
      </c>
      <c r="G10" s="41" t="s">
        <v>28</v>
      </c>
      <c r="H10" s="41" t="s">
        <v>28</v>
      </c>
    </row>
  </sheetData>
  <mergeCells count="3">
    <mergeCell ref="A1:H1"/>
    <mergeCell ref="A3:H3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Plan</vt:lpstr>
      <vt:lpstr>Nhân sự dự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05</dc:creator>
  <dc:title/>
  <dc:subject/>
  <dc:description/>
  <cp:keywords/>
  <cp:category/>
  <cp:lastModifiedBy>Unknown</cp:lastModifiedBy>
  <dcterms:created xsi:type="dcterms:W3CDTF">2026-10-27T06:19:43Z</dcterms:created>
  <dcterms:modified xsi:type="dcterms:W3CDTF">2026-10-27T06:19:43Z</dcterms:modified>
</cp:coreProperties>
</file>